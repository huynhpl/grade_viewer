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\Giảng dạy\Dữ liệu Kỳ học\Năm 1 - Kỳ 2\Database\2025-2026\Final Exam\UDU\Results\"/>
    </mc:Choice>
  </mc:AlternateContent>
  <xr:revisionPtr revIDLastSave="0" documentId="13_ncr:1_{7F06E205-10A8-47E6-9D36-9CCC911BE6D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ảng điểm tổng kết" sheetId="1" r:id="rId1"/>
    <sheet name="Thông tin ca thi" sheetId="2" r:id="rId2"/>
    <sheet name="Phân bố điểm" sheetId="3" r:id="rId3"/>
  </sheets>
  <definedNames>
    <definedName name="_xlnm._FilterDatabase" localSheetId="0" hidden="1">'Bảng điểm tổng kết'!$A$3:$O$293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95" i="1" l="1"/>
  <c r="G234" i="1"/>
  <c r="O234" i="1" s="1"/>
  <c r="G149" i="1"/>
  <c r="O149" i="1" s="1"/>
  <c r="G133" i="1"/>
  <c r="O133" i="1" s="1"/>
  <c r="G106" i="1"/>
  <c r="O106" i="1" s="1"/>
  <c r="G122" i="1"/>
  <c r="O122" i="1" s="1"/>
  <c r="G172" i="1"/>
  <c r="O172" i="1" s="1"/>
  <c r="G66" i="1"/>
  <c r="O66" i="1" s="1"/>
  <c r="G17" i="1"/>
  <c r="O17" i="1" s="1"/>
  <c r="G191" i="1"/>
  <c r="O191" i="1" s="1"/>
  <c r="G18" i="1"/>
  <c r="O18" i="1" s="1"/>
  <c r="G215" i="1"/>
  <c r="O215" i="1" s="1"/>
  <c r="G150" i="1"/>
  <c r="O150" i="1" s="1"/>
  <c r="G173" i="1"/>
  <c r="O173" i="1" s="1"/>
  <c r="G134" i="1"/>
  <c r="O134" i="1" s="1"/>
  <c r="G266" i="1"/>
  <c r="O266" i="1" s="1"/>
  <c r="G67" i="1"/>
  <c r="O67" i="1" s="1"/>
  <c r="G203" i="1"/>
  <c r="O203" i="1" s="1"/>
  <c r="G92" i="1"/>
  <c r="O92" i="1" s="1"/>
  <c r="G49" i="1"/>
  <c r="O49" i="1" s="1"/>
  <c r="G204" i="1"/>
  <c r="O204" i="1" s="1"/>
  <c r="G184" i="1"/>
  <c r="O184" i="1" s="1"/>
  <c r="G272" i="1"/>
  <c r="O272" i="1" s="1"/>
  <c r="G235" i="1"/>
  <c r="O235" i="1" s="1"/>
  <c r="G151" i="1"/>
  <c r="O151" i="1" s="1"/>
  <c r="G50" i="1"/>
  <c r="O50" i="1" s="1"/>
  <c r="G192" i="1"/>
  <c r="O192" i="1" s="1"/>
  <c r="G152" i="1"/>
  <c r="O152" i="1" s="1"/>
  <c r="G174" i="1"/>
  <c r="O174" i="1" s="1"/>
  <c r="G58" i="1"/>
  <c r="O58" i="1" s="1"/>
  <c r="G193" i="1"/>
  <c r="O193" i="1" s="1"/>
  <c r="G115" i="1"/>
  <c r="O115" i="1" s="1"/>
  <c r="G78" i="1"/>
  <c r="O78" i="1" s="1"/>
  <c r="G12" i="1"/>
  <c r="O12" i="1" s="1"/>
  <c r="G205" i="1"/>
  <c r="O205" i="1" s="1"/>
  <c r="G44" i="1"/>
  <c r="O44" i="1" s="1"/>
  <c r="G59" i="1"/>
  <c r="O59" i="1" s="1"/>
  <c r="G160" i="1"/>
  <c r="O160" i="1" s="1"/>
  <c r="G135" i="1"/>
  <c r="O135" i="1" s="1"/>
  <c r="G161" i="1"/>
  <c r="O161" i="1" s="1"/>
  <c r="G136" i="1"/>
  <c r="O136" i="1" s="1"/>
  <c r="G270" i="1"/>
  <c r="O270" i="1" s="1"/>
  <c r="G51" i="1"/>
  <c r="O51" i="1" s="1"/>
  <c r="G206" i="1"/>
  <c r="O206" i="1" s="1"/>
  <c r="G93" i="1"/>
  <c r="O93" i="1" s="1"/>
  <c r="G22" i="1"/>
  <c r="O22" i="1" s="1"/>
  <c r="G107" i="1"/>
  <c r="O107" i="1" s="1"/>
  <c r="G4" i="1"/>
  <c r="O4" i="1" s="1"/>
  <c r="G175" i="1"/>
  <c r="O175" i="1" s="1"/>
  <c r="G19" i="1"/>
  <c r="O19" i="1" s="1"/>
  <c r="G176" i="1"/>
  <c r="O176" i="1" s="1"/>
  <c r="G229" i="1"/>
  <c r="O229" i="1" s="1"/>
  <c r="G123" i="1"/>
  <c r="O123" i="1" s="1"/>
  <c r="G273" i="1"/>
  <c r="O273" i="1" s="1"/>
  <c r="G253" i="1"/>
  <c r="O253" i="1" s="1"/>
  <c r="G94" i="1"/>
  <c r="O94" i="1" s="1"/>
  <c r="G240" i="1"/>
  <c r="O240" i="1" s="1"/>
  <c r="G79" i="1"/>
  <c r="O79" i="1" s="1"/>
  <c r="G269" i="1"/>
  <c r="O269" i="1" s="1"/>
  <c r="G230" i="1"/>
  <c r="O230" i="1" s="1"/>
  <c r="G261" i="1"/>
  <c r="O261" i="1" s="1"/>
  <c r="G185" i="1"/>
  <c r="O185" i="1" s="1"/>
  <c r="G177" i="1"/>
  <c r="O177" i="1" s="1"/>
  <c r="G60" i="1"/>
  <c r="O60" i="1" s="1"/>
  <c r="G162" i="1"/>
  <c r="O162" i="1" s="1"/>
  <c r="G220" i="1"/>
  <c r="O220" i="1" s="1"/>
  <c r="G274" i="1"/>
  <c r="O274" i="1" s="1"/>
  <c r="G29" i="1"/>
  <c r="O29" i="1" s="1"/>
  <c r="G68" i="1"/>
  <c r="O68" i="1" s="1"/>
  <c r="G95" i="1"/>
  <c r="O95" i="1" s="1"/>
  <c r="G20" i="1"/>
  <c r="O20" i="1" s="1"/>
  <c r="G153" i="1"/>
  <c r="O153" i="1" s="1"/>
  <c r="G116" i="1"/>
  <c r="O116" i="1" s="1"/>
  <c r="G221" i="1"/>
  <c r="O221" i="1" s="1"/>
  <c r="G163" i="1"/>
  <c r="O163" i="1" s="1"/>
  <c r="G30" i="1"/>
  <c r="O30" i="1" s="1"/>
  <c r="G275" i="1"/>
  <c r="O275" i="1" s="1"/>
  <c r="G236" i="1"/>
  <c r="O236" i="1" s="1"/>
  <c r="G276" i="1"/>
  <c r="O276" i="1" s="1"/>
  <c r="G61" i="1"/>
  <c r="O61" i="1" s="1"/>
  <c r="G207" i="1"/>
  <c r="O207" i="1" s="1"/>
  <c r="G194" i="1"/>
  <c r="O194" i="1" s="1"/>
  <c r="G62" i="1"/>
  <c r="O62" i="1" s="1"/>
  <c r="G186" i="1"/>
  <c r="O186" i="1" s="1"/>
  <c r="G164" i="1"/>
  <c r="O164" i="1" s="1"/>
  <c r="G154" i="1"/>
  <c r="O154" i="1" s="1"/>
  <c r="G277" i="1"/>
  <c r="O277" i="1" s="1"/>
  <c r="G36" i="1"/>
  <c r="O36" i="1" s="1"/>
  <c r="G278" i="1"/>
  <c r="O278" i="1" s="1"/>
  <c r="G165" i="1"/>
  <c r="O165" i="1" s="1"/>
  <c r="G137" i="1"/>
  <c r="O137" i="1" s="1"/>
  <c r="G279" i="1"/>
  <c r="O279" i="1" s="1"/>
  <c r="G231" i="1"/>
  <c r="O231" i="1" s="1"/>
  <c r="G254" i="1"/>
  <c r="O254" i="1" s="1"/>
  <c r="G195" i="1"/>
  <c r="O195" i="1" s="1"/>
  <c r="G138" i="1"/>
  <c r="O138" i="1" s="1"/>
  <c r="G37" i="1"/>
  <c r="O37" i="1" s="1"/>
  <c r="G69" i="1"/>
  <c r="O69" i="1" s="1"/>
  <c r="G187" i="1"/>
  <c r="O187" i="1" s="1"/>
  <c r="G139" i="1"/>
  <c r="O139" i="1" s="1"/>
  <c r="G31" i="1"/>
  <c r="O31" i="1" s="1"/>
  <c r="G208" i="1"/>
  <c r="O208" i="1" s="1"/>
  <c r="G108" i="1"/>
  <c r="O108" i="1" s="1"/>
  <c r="G216" i="1"/>
  <c r="O216" i="1" s="1"/>
  <c r="G155" i="1"/>
  <c r="O155" i="1" s="1"/>
  <c r="G246" i="1"/>
  <c r="O246" i="1" s="1"/>
  <c r="G265" i="1"/>
  <c r="O265" i="1" s="1"/>
  <c r="G109" i="1"/>
  <c r="O109" i="1" s="1"/>
  <c r="G5" i="1"/>
  <c r="O5" i="1" s="1"/>
  <c r="G280" i="1"/>
  <c r="O280" i="1" s="1"/>
  <c r="G188" i="1"/>
  <c r="O188" i="1" s="1"/>
  <c r="G222" i="1"/>
  <c r="O222" i="1" s="1"/>
  <c r="G251" i="1"/>
  <c r="O251" i="1" s="1"/>
  <c r="G237" i="1"/>
  <c r="O237" i="1" s="1"/>
  <c r="G80" i="1"/>
  <c r="O80" i="1" s="1"/>
  <c r="G223" i="1"/>
  <c r="O223" i="1" s="1"/>
  <c r="G166" i="1"/>
  <c r="O166" i="1" s="1"/>
  <c r="G96" i="1"/>
  <c r="O96" i="1" s="1"/>
  <c r="G178" i="1"/>
  <c r="O178" i="1" s="1"/>
  <c r="G45" i="1"/>
  <c r="O45" i="1" s="1"/>
  <c r="G70" i="1"/>
  <c r="O70" i="1" s="1"/>
  <c r="G238" i="1"/>
  <c r="O238" i="1" s="1"/>
  <c r="G110" i="1"/>
  <c r="O110" i="1" s="1"/>
  <c r="G196" i="1"/>
  <c r="O196" i="1" s="1"/>
  <c r="G197" i="1"/>
  <c r="O197" i="1" s="1"/>
  <c r="G38" i="1"/>
  <c r="O38" i="1" s="1"/>
  <c r="G39" i="1"/>
  <c r="O39" i="1" s="1"/>
  <c r="G97" i="1"/>
  <c r="O97" i="1" s="1"/>
  <c r="G52" i="1"/>
  <c r="O52" i="1" s="1"/>
  <c r="G140" i="1"/>
  <c r="O140" i="1" s="1"/>
  <c r="G198" i="1"/>
  <c r="O198" i="1" s="1"/>
  <c r="G141" i="1"/>
  <c r="O141" i="1" s="1"/>
  <c r="G13" i="1"/>
  <c r="O13" i="1" s="1"/>
  <c r="G98" i="1"/>
  <c r="O98" i="1" s="1"/>
  <c r="G111" i="1"/>
  <c r="O111" i="1" s="1"/>
  <c r="G112" i="1"/>
  <c r="O112" i="1" s="1"/>
  <c r="G179" i="1"/>
  <c r="O179" i="1" s="1"/>
  <c r="G9" i="1"/>
  <c r="O9" i="1" s="1"/>
  <c r="G142" i="1"/>
  <c r="O142" i="1" s="1"/>
  <c r="G32" i="1"/>
  <c r="O32" i="1" s="1"/>
  <c r="G10" i="1"/>
  <c r="O10" i="1" s="1"/>
  <c r="G71" i="1"/>
  <c r="O71" i="1" s="1"/>
  <c r="G99" i="1"/>
  <c r="O99" i="1" s="1"/>
  <c r="G241" i="1"/>
  <c r="O241" i="1" s="1"/>
  <c r="G14" i="1"/>
  <c r="O14" i="1" s="1"/>
  <c r="G267" i="1"/>
  <c r="O267" i="1" s="1"/>
  <c r="G72" i="1"/>
  <c r="O72" i="1" s="1"/>
  <c r="G232" i="1"/>
  <c r="O232" i="1" s="1"/>
  <c r="G23" i="1"/>
  <c r="O23" i="1" s="1"/>
  <c r="G53" i="1"/>
  <c r="O53" i="1" s="1"/>
  <c r="G143" i="1"/>
  <c r="O143" i="1" s="1"/>
  <c r="G100" i="1"/>
  <c r="O100" i="1" s="1"/>
  <c r="G247" i="1"/>
  <c r="O247" i="1" s="1"/>
  <c r="G124" i="1"/>
  <c r="O124" i="1" s="1"/>
  <c r="G63" i="1"/>
  <c r="O63" i="1" s="1"/>
  <c r="G281" i="1"/>
  <c r="O281" i="1" s="1"/>
  <c r="G167" i="1"/>
  <c r="O167" i="1" s="1"/>
  <c r="G11" i="1"/>
  <c r="O11" i="1" s="1"/>
  <c r="G101" i="1"/>
  <c r="O101" i="1" s="1"/>
  <c r="G54" i="1"/>
  <c r="O54" i="1" s="1"/>
  <c r="G21" i="1"/>
  <c r="O21" i="1" s="1"/>
  <c r="G64" i="1"/>
  <c r="O64" i="1" s="1"/>
  <c r="G199" i="1"/>
  <c r="O199" i="1" s="1"/>
  <c r="G282" i="1"/>
  <c r="O282" i="1" s="1"/>
  <c r="G224" i="1"/>
  <c r="O224" i="1" s="1"/>
  <c r="G242" i="1"/>
  <c r="O242" i="1" s="1"/>
  <c r="G209" i="1"/>
  <c r="O209" i="1" s="1"/>
  <c r="G102" i="1"/>
  <c r="O102" i="1" s="1"/>
  <c r="G113" i="1"/>
  <c r="O113" i="1" s="1"/>
  <c r="G210" i="1"/>
  <c r="O210" i="1" s="1"/>
  <c r="G255" i="1"/>
  <c r="O255" i="1" s="1"/>
  <c r="G283" i="1"/>
  <c r="O283" i="1" s="1"/>
  <c r="G24" i="1"/>
  <c r="O24" i="1" s="1"/>
  <c r="G248" i="1"/>
  <c r="O248" i="1" s="1"/>
  <c r="G125" i="1"/>
  <c r="O125" i="1" s="1"/>
  <c r="G259" i="1"/>
  <c r="O259" i="1" s="1"/>
  <c r="G217" i="1"/>
  <c r="O217" i="1" s="1"/>
  <c r="G200" i="1"/>
  <c r="O200" i="1" s="1"/>
  <c r="G81" i="1"/>
  <c r="O81" i="1" s="1"/>
  <c r="G262" i="1"/>
  <c r="O262" i="1" s="1"/>
  <c r="G73" i="1"/>
  <c r="O73" i="1" s="1"/>
  <c r="G46" i="1"/>
  <c r="O46" i="1" s="1"/>
  <c r="G284" i="1"/>
  <c r="O284" i="1" s="1"/>
  <c r="G74" i="1"/>
  <c r="O74" i="1" s="1"/>
  <c r="G33" i="1"/>
  <c r="O33" i="1" s="1"/>
  <c r="G256" i="1"/>
  <c r="O256" i="1" s="1"/>
  <c r="G263" i="1"/>
  <c r="O263" i="1" s="1"/>
  <c r="G82" i="1"/>
  <c r="O82" i="1" s="1"/>
  <c r="G15" i="1"/>
  <c r="O15" i="1" s="1"/>
  <c r="G201" i="1"/>
  <c r="O201" i="1" s="1"/>
  <c r="G126" i="1"/>
  <c r="O126" i="1" s="1"/>
  <c r="G285" i="1"/>
  <c r="O285" i="1" s="1"/>
  <c r="G264" i="1"/>
  <c r="O264" i="1" s="1"/>
  <c r="G156" i="1"/>
  <c r="O156" i="1" s="1"/>
  <c r="G286" i="1"/>
  <c r="O286" i="1" s="1"/>
  <c r="G225" i="1"/>
  <c r="O225" i="1" s="1"/>
  <c r="G218" i="1"/>
  <c r="O218" i="1" s="1"/>
  <c r="G157" i="1"/>
  <c r="O157" i="1" s="1"/>
  <c r="G211" i="1"/>
  <c r="O211" i="1" s="1"/>
  <c r="G55" i="1"/>
  <c r="O55" i="1" s="1"/>
  <c r="G158" i="1"/>
  <c r="O158" i="1" s="1"/>
  <c r="G47" i="1"/>
  <c r="O47" i="1" s="1"/>
  <c r="G83" i="1"/>
  <c r="O83" i="1" s="1"/>
  <c r="G144" i="1"/>
  <c r="O144" i="1" s="1"/>
  <c r="G48" i="1"/>
  <c r="O48" i="1" s="1"/>
  <c r="G25" i="1"/>
  <c r="O25" i="1" s="1"/>
  <c r="G127" i="1"/>
  <c r="O127" i="1" s="1"/>
  <c r="G239" i="1"/>
  <c r="O239" i="1" s="1"/>
  <c r="G168" i="1"/>
  <c r="O168" i="1" s="1"/>
  <c r="G103" i="1"/>
  <c r="O103" i="1" s="1"/>
  <c r="G287" i="1"/>
  <c r="O287" i="1" s="1"/>
  <c r="G65" i="1"/>
  <c r="O65" i="1" s="1"/>
  <c r="G169" i="1"/>
  <c r="O169" i="1" s="1"/>
  <c r="G40" i="1"/>
  <c r="O40" i="1" s="1"/>
  <c r="G145" i="1"/>
  <c r="O145" i="1" s="1"/>
  <c r="G180" i="1"/>
  <c r="O180" i="1" s="1"/>
  <c r="G212" i="1"/>
  <c r="O212" i="1" s="1"/>
  <c r="G189" i="1"/>
  <c r="O189" i="1" s="1"/>
  <c r="G170" i="1"/>
  <c r="O170" i="1" s="1"/>
  <c r="G128" i="1"/>
  <c r="O128" i="1" s="1"/>
  <c r="G129" i="1"/>
  <c r="O129" i="1" s="1"/>
  <c r="G104" i="1"/>
  <c r="O104" i="1" s="1"/>
  <c r="G181" i="1"/>
  <c r="O181" i="1" s="1"/>
  <c r="G288" i="1"/>
  <c r="O288" i="1" s="1"/>
  <c r="G84" i="1"/>
  <c r="O84" i="1" s="1"/>
  <c r="G249" i="1"/>
  <c r="O249" i="1" s="1"/>
  <c r="G85" i="1"/>
  <c r="O85" i="1" s="1"/>
  <c r="G190" i="1"/>
  <c r="O190" i="1" s="1"/>
  <c r="G86" i="1"/>
  <c r="O86" i="1" s="1"/>
  <c r="G213" i="1"/>
  <c r="O213" i="1" s="1"/>
  <c r="G26" i="1"/>
  <c r="O26" i="1" s="1"/>
  <c r="G219" i="1"/>
  <c r="O219" i="1" s="1"/>
  <c r="G258" i="1"/>
  <c r="O258" i="1" s="1"/>
  <c r="G56" i="1"/>
  <c r="O56" i="1" s="1"/>
  <c r="G7" i="1"/>
  <c r="O7" i="1" s="1"/>
  <c r="G16" i="1"/>
  <c r="O16" i="1" s="1"/>
  <c r="G27" i="1"/>
  <c r="O27" i="1" s="1"/>
  <c r="G87" i="1"/>
  <c r="O87" i="1" s="1"/>
  <c r="G202" i="1"/>
  <c r="O202" i="1" s="1"/>
  <c r="G41" i="1"/>
  <c r="O41" i="1" s="1"/>
  <c r="G268" i="1"/>
  <c r="O268" i="1" s="1"/>
  <c r="G252" i="1"/>
  <c r="O252" i="1" s="1"/>
  <c r="G226" i="1"/>
  <c r="O226" i="1" s="1"/>
  <c r="G289" i="1"/>
  <c r="O289" i="1" s="1"/>
  <c r="G34" i="1"/>
  <c r="O34" i="1" s="1"/>
  <c r="G117" i="1"/>
  <c r="O117" i="1" s="1"/>
  <c r="G214" i="1"/>
  <c r="O214" i="1" s="1"/>
  <c r="G75" i="1"/>
  <c r="O75" i="1" s="1"/>
  <c r="G243" i="1"/>
  <c r="O243" i="1" s="1"/>
  <c r="G88" i="1"/>
  <c r="O88" i="1" s="1"/>
  <c r="G233" i="1"/>
  <c r="O233" i="1" s="1"/>
  <c r="G130" i="1"/>
  <c r="O130" i="1" s="1"/>
  <c r="G260" i="1"/>
  <c r="O260" i="1" s="1"/>
  <c r="G290" i="1"/>
  <c r="O290" i="1" s="1"/>
  <c r="G146" i="1"/>
  <c r="O146" i="1" s="1"/>
  <c r="G76" i="1"/>
  <c r="O76" i="1" s="1"/>
  <c r="G77" i="1"/>
  <c r="O77" i="1" s="1"/>
  <c r="G227" i="1"/>
  <c r="O227" i="1" s="1"/>
  <c r="G35" i="1"/>
  <c r="O35" i="1" s="1"/>
  <c r="G114" i="1"/>
  <c r="O114" i="1" s="1"/>
  <c r="G89" i="1"/>
  <c r="O89" i="1" s="1"/>
  <c r="G57" i="1"/>
  <c r="O57" i="1" s="1"/>
  <c r="G171" i="1"/>
  <c r="O171" i="1" s="1"/>
  <c r="G105" i="1"/>
  <c r="O105" i="1" s="1"/>
  <c r="G182" i="1"/>
  <c r="O182" i="1" s="1"/>
  <c r="G118" i="1"/>
  <c r="O118" i="1" s="1"/>
  <c r="G291" i="1"/>
  <c r="O291" i="1" s="1"/>
  <c r="G90" i="1"/>
  <c r="O90" i="1" s="1"/>
  <c r="G292" i="1"/>
  <c r="O292" i="1" s="1"/>
  <c r="G42" i="1"/>
  <c r="O42" i="1" s="1"/>
  <c r="G244" i="1"/>
  <c r="O244" i="1" s="1"/>
  <c r="G119" i="1"/>
  <c r="O119" i="1" s="1"/>
  <c r="G293" i="1"/>
  <c r="O293" i="1" s="1"/>
  <c r="G8" i="1"/>
  <c r="O8" i="1" s="1"/>
  <c r="G120" i="1"/>
  <c r="O120" i="1" s="1"/>
  <c r="G131" i="1"/>
  <c r="O131" i="1" s="1"/>
  <c r="G147" i="1"/>
  <c r="O147" i="1" s="1"/>
  <c r="G183" i="1"/>
  <c r="O183" i="1" s="1"/>
  <c r="G91" i="1"/>
  <c r="O91" i="1" s="1"/>
  <c r="G6" i="1"/>
  <c r="O6" i="1" s="1"/>
  <c r="G121" i="1"/>
  <c r="O121" i="1" s="1"/>
  <c r="G228" i="1"/>
  <c r="O228" i="1" s="1"/>
  <c r="G148" i="1"/>
  <c r="O148" i="1" s="1"/>
  <c r="G43" i="1"/>
  <c r="O43" i="1" s="1"/>
  <c r="G257" i="1"/>
  <c r="O257" i="1" s="1"/>
  <c r="G159" i="1"/>
  <c r="O159" i="1" s="1"/>
  <c r="G28" i="1"/>
  <c r="O28" i="1" s="1"/>
  <c r="G250" i="1"/>
  <c r="O250" i="1" s="1"/>
  <c r="G132" i="1"/>
  <c r="O132" i="1" s="1"/>
  <c r="G245" i="1"/>
  <c r="O245" i="1" s="1"/>
  <c r="G271" i="1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C14" i="3" s="1"/>
  <c r="B4" i="3"/>
  <c r="D9" i="2"/>
  <c r="D7" i="2"/>
  <c r="D6" i="2"/>
  <c r="D5" i="2"/>
  <c r="D4" i="2"/>
  <c r="N295" i="1"/>
  <c r="M295" i="1"/>
  <c r="L295" i="1"/>
  <c r="F295" i="1"/>
  <c r="E295" i="1"/>
  <c r="D11" i="2"/>
  <c r="D10" i="2"/>
  <c r="D8" i="2" l="1"/>
  <c r="O271" i="1"/>
  <c r="B14" i="3"/>
  <c r="D5" i="3"/>
  <c r="D4" i="3"/>
  <c r="D13" i="3"/>
  <c r="D10" i="3"/>
  <c r="D9" i="3"/>
  <c r="D7" i="3"/>
  <c r="G295" i="1"/>
  <c r="D12" i="3"/>
  <c r="D11" i="3"/>
  <c r="D8" i="3"/>
  <c r="D6" i="3"/>
  <c r="D14" i="3" l="1"/>
</calcChain>
</file>

<file path=xl/sharedStrings.xml><?xml version="1.0" encoding="utf-8"?>
<sst xmlns="http://schemas.openxmlformats.org/spreadsheetml/2006/main" count="1786" uniqueCount="633">
  <si>
    <t>BẢNG ĐIỂM TỔNG KẾT (Trắc nghiệm 50% + SQL 50%)</t>
  </si>
  <si>
    <t>STT</t>
  </si>
  <si>
    <t>Ca thi</t>
  </si>
  <si>
    <t>Mã sinh viên</t>
  </si>
  <si>
    <t>Họ và tên</t>
  </si>
  <si>
    <t>Điểm TN</t>
  </si>
  <si>
    <t>Điểm SQL</t>
  </si>
  <si>
    <t>Điểm tổng kết</t>
  </si>
  <si>
    <t>Ngày sinh</t>
  </si>
  <si>
    <t>Lớp hành chính</t>
  </si>
  <si>
    <t>Lớp học phần</t>
  </si>
  <si>
    <t>Trạng thái thi</t>
  </si>
  <si>
    <t>Chuyên cần</t>
  </si>
  <si>
    <t>Bài tập, thảo luận</t>
  </si>
  <si>
    <t>Trung bình kiểm tra</t>
  </si>
  <si>
    <t>Ca 1</t>
  </si>
  <si>
    <t>B25DCCC008</t>
  </si>
  <si>
    <t>Dư Tuấn Anh</t>
  </si>
  <si>
    <t>D25CQCC02-B</t>
  </si>
  <si>
    <t>INT1313-20252-05</t>
  </si>
  <si>
    <t>Đủ điều kiện</t>
  </si>
  <si>
    <t>B25DCCC293</t>
  </si>
  <si>
    <t>Hoàng Trung Đức</t>
  </si>
  <si>
    <t>D25CQCC05-B</t>
  </si>
  <si>
    <t>B25DCCC077</t>
  </si>
  <si>
    <t>Hoàng Tuấn Huy</t>
  </si>
  <si>
    <t>B25DCCC034</t>
  </si>
  <si>
    <t>Khổng Đức Bình</t>
  </si>
  <si>
    <t>D25CQCC04-B</t>
  </si>
  <si>
    <t>B25DCCC122</t>
  </si>
  <si>
    <t>Lê Sỹ Cao Kỳ</t>
  </si>
  <si>
    <t>B25DCCC110</t>
  </si>
  <si>
    <t>Lê Đăng Khoa</t>
  </si>
  <si>
    <t>B25DCCC124</t>
  </si>
  <si>
    <t>Lưu Khả Linh</t>
  </si>
  <si>
    <t>B25DCCC296</t>
  </si>
  <si>
    <t>Nguyễn Công Đức</t>
  </si>
  <si>
    <t>B25DCCC046</t>
  </si>
  <si>
    <t>Nguyễn Duy Cường</t>
  </si>
  <si>
    <t>B25DCCC298</t>
  </si>
  <si>
    <t>Nguyễn Quang Đức</t>
  </si>
  <si>
    <t>B25DCCC131</t>
  </si>
  <si>
    <t>Nguyễn Thế Lâm</t>
  </si>
  <si>
    <t>B25DCCC015</t>
  </si>
  <si>
    <t>Nguyễn Tuấn Anh</t>
  </si>
  <si>
    <t>D25CQCC03-B</t>
  </si>
  <si>
    <t>B25DCCC017</t>
  </si>
  <si>
    <t>Nguyễn Việt Anh</t>
  </si>
  <si>
    <t>B25DCCC018</t>
  </si>
  <si>
    <t>D25CQCC06-B</t>
  </si>
  <si>
    <t>B25DCCC060</t>
  </si>
  <si>
    <t>Nguyễn Đức Dũng</t>
  </si>
  <si>
    <t>B25DCCC099</t>
  </si>
  <si>
    <t>Phan Lạc Hưng</t>
  </si>
  <si>
    <t>B25DCCC112</t>
  </si>
  <si>
    <t>Phùng Hoàng Khoa</t>
  </si>
  <si>
    <t>B25DCCC302</t>
  </si>
  <si>
    <t>Phạm Anh Đức</t>
  </si>
  <si>
    <t>B25DCCC094</t>
  </si>
  <si>
    <t>Phạm Việt Hùng</t>
  </si>
  <si>
    <t>B25DCCC030</t>
  </si>
  <si>
    <t>Phạm Đào Ngọc Bách</t>
  </si>
  <si>
    <t>B25DCCC069</t>
  </si>
  <si>
    <t>Quang Trung Hiếu</t>
  </si>
  <si>
    <t>B25DCCC006</t>
  </si>
  <si>
    <t>Trần Dương An</t>
  </si>
  <si>
    <t>B25DCCC291</t>
  </si>
  <si>
    <t>Trần Tiến Đạt</t>
  </si>
  <si>
    <t>B25DCCC025</t>
  </si>
  <si>
    <t>Trần Tuấn Anh</t>
  </si>
  <si>
    <t>D25CQCC01-B</t>
  </si>
  <si>
    <t>B25DCCC065</t>
  </si>
  <si>
    <t>Trần Đăng Dương</t>
  </si>
  <si>
    <t>B25DCCC070</t>
  </si>
  <si>
    <t>Trần Đức Hiếu</t>
  </si>
  <si>
    <t>B25DCCC083</t>
  </si>
  <si>
    <t>Tạ Quang Huy</t>
  </si>
  <si>
    <t>B25DCCC032</t>
  </si>
  <si>
    <t>Vũ Hoàng Bách</t>
  </si>
  <si>
    <t>B25DCCC120</t>
  </si>
  <si>
    <t>Vũ Đức Kiên</t>
  </si>
  <si>
    <t>B25DCCC102</t>
  </si>
  <si>
    <t>Đinh Quang Hưng</t>
  </si>
  <si>
    <t>B25DCCC085</t>
  </si>
  <si>
    <t>Đàm Trọng Cao Huy</t>
  </si>
  <si>
    <t>B25DCCC033</t>
  </si>
  <si>
    <t>Đặng Nguyên Bách</t>
  </si>
  <si>
    <t>B25DCCC048</t>
  </si>
  <si>
    <t>Đồng Mạnh Cường</t>
  </si>
  <si>
    <t>B25DCCC284</t>
  </si>
  <si>
    <t>Đỗ Văn Đăng</t>
  </si>
  <si>
    <t>B25DCCC121</t>
  </si>
  <si>
    <t>Đỗ Đức Kiên</t>
  </si>
  <si>
    <t>Ca 2</t>
  </si>
  <si>
    <t>B25DCCC061</t>
  </si>
  <si>
    <t>Bùi Xuân An Dương</t>
  </si>
  <si>
    <t>INT1313-20252-08</t>
  </si>
  <si>
    <t>B25DCCC009</t>
  </si>
  <si>
    <t>Hoàng Tuấn Anh</t>
  </si>
  <si>
    <t>B25DCCC078</t>
  </si>
  <si>
    <t>Hoàng Đình Huy</t>
  </si>
  <si>
    <t>B25DCCC044</t>
  </si>
  <si>
    <t>Hà Mạnh Cường</t>
  </si>
  <si>
    <t>B25DCCC043</t>
  </si>
  <si>
    <t>Hồ Công Chính</t>
  </si>
  <si>
    <t>B25DCCC001</t>
  </si>
  <si>
    <t>Hồ Văn An</t>
  </si>
  <si>
    <t>B25DCCC165</t>
  </si>
  <si>
    <t>Lê Hoàng Long Nhật</t>
  </si>
  <si>
    <t>B25DCCC106</t>
  </si>
  <si>
    <t>Lê Hùng Hậu</t>
  </si>
  <si>
    <t>B25DCCC063</t>
  </si>
  <si>
    <t>Lê Minh Dương</t>
  </si>
  <si>
    <t>B25DCCC176</t>
  </si>
  <si>
    <t>Mai Hoàng Phúc</t>
  </si>
  <si>
    <t>B25DCCC129</t>
  </si>
  <si>
    <t>Nguyễn Hải Long</t>
  </si>
  <si>
    <t>B25DCCC297</t>
  </si>
  <si>
    <t>Nguyễn Minh Đức</t>
  </si>
  <si>
    <t>B25DCCC037</t>
  </si>
  <si>
    <t>Nguyễn Quốc Bảo</t>
  </si>
  <si>
    <t>B25DCCC057</t>
  </si>
  <si>
    <t>Nguyễn Tiến Dũng</t>
  </si>
  <si>
    <t>B25DCCC042</t>
  </si>
  <si>
    <t>Nguyễn Đình Chuẩn</t>
  </si>
  <si>
    <t>B25DCCC277</t>
  </si>
  <si>
    <t>Nguyễn Đức Đông</t>
  </si>
  <si>
    <t>B25DCCC047</t>
  </si>
  <si>
    <t>Ngô Tuấn Cường</t>
  </si>
  <si>
    <t>B25DCCC105</t>
  </si>
  <si>
    <t>Ngô Đại Hải</t>
  </si>
  <si>
    <t>B25DCCC163</t>
  </si>
  <si>
    <t>Nông Đức Nhân</t>
  </si>
  <si>
    <t>B25DCCC019</t>
  </si>
  <si>
    <t>Phạm Ngọc Anh</t>
  </si>
  <si>
    <t>B25DCCC292</t>
  </si>
  <si>
    <t>Phạm Đức Đỗ</t>
  </si>
  <si>
    <t>B25DCCC114</t>
  </si>
  <si>
    <t>Trần Lê Khoa</t>
  </si>
  <si>
    <t>B25DCCC086</t>
  </si>
  <si>
    <t>Trần Thu Huyền</t>
  </si>
  <si>
    <t>B25DCCC031</t>
  </si>
  <si>
    <t>Trần Xuân Bách</t>
  </si>
  <si>
    <t>B25DCCC283</t>
  </si>
  <si>
    <t>Trần Đăng</t>
  </si>
  <si>
    <t>B25DCCC074</t>
  </si>
  <si>
    <t>Trần Đức Hoàng</t>
  </si>
  <si>
    <t>B25DCCC090</t>
  </si>
  <si>
    <t>Trịnh Việt Hòa</t>
  </si>
  <si>
    <t>B25DCCC084</t>
  </si>
  <si>
    <t>Vi Quang Huy</t>
  </si>
  <si>
    <t>B25DCCC101</t>
  </si>
  <si>
    <t>Vũ Quốc Hưng</t>
  </si>
  <si>
    <t>B25DCCC144</t>
  </si>
  <si>
    <t>Vũ Tuấn Minh</t>
  </si>
  <si>
    <t>B25DCCC027</t>
  </si>
  <si>
    <t>Đoàn Việt Anh</t>
  </si>
  <si>
    <t>B25DCCC159</t>
  </si>
  <si>
    <t>Đàm Thị Phi Nhung</t>
  </si>
  <si>
    <t>B25DCCC028</t>
  </si>
  <si>
    <t>Đặng Nguyễn Đức Anh</t>
  </si>
  <si>
    <t>B25DCCC054</t>
  </si>
  <si>
    <t>Đặng Việt Duy</t>
  </si>
  <si>
    <t>Ca 3</t>
  </si>
  <si>
    <t>B25DCCC207</t>
  </si>
  <si>
    <t>Dương Văn Thành</t>
  </si>
  <si>
    <t>INT1313-20252-09</t>
  </si>
  <si>
    <t>B25DCCC278</t>
  </si>
  <si>
    <t>Hoàng Hữu Hải Đăng</t>
  </si>
  <si>
    <t>B25DCCC066</t>
  </si>
  <si>
    <t>Hoàng Trọng Hiếu</t>
  </si>
  <si>
    <t>B25DCCC173</t>
  </si>
  <si>
    <t>Lê Hồng Phú</t>
  </si>
  <si>
    <t>B25DCCC180</t>
  </si>
  <si>
    <t>Lê Minh Quang</t>
  </si>
  <si>
    <t>B25DCCC064</t>
  </si>
  <si>
    <t>Lê Quang Dương</t>
  </si>
  <si>
    <t>B25DCCC169</t>
  </si>
  <si>
    <t>Lê Tuấn Phong</t>
  </si>
  <si>
    <t>B25DCCC147</t>
  </si>
  <si>
    <t>Lê Đức Mạnh</t>
  </si>
  <si>
    <t>B25DCCC013</t>
  </si>
  <si>
    <t>Nguyễn Duy Anh</t>
  </si>
  <si>
    <t>B25DCCC014</t>
  </si>
  <si>
    <t>B25DCCC115</t>
  </si>
  <si>
    <t>Nguyễn Duy Khánh</t>
  </si>
  <si>
    <t>B25DCCC104</t>
  </si>
  <si>
    <t>Nguyễn Hoàng Hải</t>
  </si>
  <si>
    <t>B25DCCC174</t>
  </si>
  <si>
    <t>Nguyễn Huy Phú</t>
  </si>
  <si>
    <t>B25DCCC151</t>
  </si>
  <si>
    <t>Nguyễn Hải Nam</t>
  </si>
  <si>
    <t>B25DCCC200</t>
  </si>
  <si>
    <t>Nguyễn Minh San</t>
  </si>
  <si>
    <t>B25DCCC091</t>
  </si>
  <si>
    <t>Nguyễn Mạnh Hùng</t>
  </si>
  <si>
    <t>B25DCCC141</t>
  </si>
  <si>
    <t>Nguyễn Ngọc Minh</t>
  </si>
  <si>
    <t>B25DCCC209</t>
  </si>
  <si>
    <t>Nguyễn Sơn Thành</t>
  </si>
  <si>
    <t>B25DCCC299</t>
  </si>
  <si>
    <t>Nguyễn Tiến Đức</t>
  </si>
  <si>
    <t>B25DCCC081</t>
  </si>
  <si>
    <t>Nguyễn Trịnh Gia Huy</t>
  </si>
  <si>
    <t>B25DCCC097</t>
  </si>
  <si>
    <t>Nguyễn Tuấn Hưng</t>
  </si>
  <si>
    <t>B25DCCC004</t>
  </si>
  <si>
    <t>Nguyễn Xuân An</t>
  </si>
  <si>
    <t>B25DCCC301</t>
  </si>
  <si>
    <t>Nguyễn Đình Lâm Đức</t>
  </si>
  <si>
    <t>B25DCCC051</t>
  </si>
  <si>
    <t>Nguyễn Đức Duy</t>
  </si>
  <si>
    <t>B25DCCC098</t>
  </si>
  <si>
    <t>Ngô Gia Hưng</t>
  </si>
  <si>
    <t>B25DCCC136</t>
  </si>
  <si>
    <t>Phạm Thanh Mai</t>
  </si>
  <si>
    <t>B25DCCC289</t>
  </si>
  <si>
    <t>Trần Thành Đạt</t>
  </si>
  <si>
    <t>B25DCCC184</t>
  </si>
  <si>
    <t>Trần Tùng Quang</t>
  </si>
  <si>
    <t>B25DCCC155</t>
  </si>
  <si>
    <t>Trần Văn Nghĩa</t>
  </si>
  <si>
    <t>B25DCCC137</t>
  </si>
  <si>
    <t>Tạ Thị Hoàng Mai</t>
  </si>
  <si>
    <t>B25DCCC040</t>
  </si>
  <si>
    <t>Tạ Xuân Bắc</t>
  </si>
  <si>
    <t>B25DCCC303</t>
  </si>
  <si>
    <t>Vũ Lê Minh Đức</t>
  </si>
  <si>
    <t>B25DCCC007</t>
  </si>
  <si>
    <t>Vũ Tùng An</t>
  </si>
  <si>
    <t>B25DCCC035</t>
  </si>
  <si>
    <t>Vũ Văn Thanh Bình</t>
  </si>
  <si>
    <t>B25DCCC185</t>
  </si>
  <si>
    <t>Đào Nhật Quang</t>
  </si>
  <si>
    <t>B25DCCC153</t>
  </si>
  <si>
    <t>Đỗ Hoài Nam</t>
  </si>
  <si>
    <t>Ca 4</t>
  </si>
  <si>
    <t>B25DCCC089</t>
  </si>
  <si>
    <t>Bùi Việt Hào</t>
  </si>
  <si>
    <t>INT1313-20252-06</t>
  </si>
  <si>
    <t>B25DCCC056</t>
  </si>
  <si>
    <t>Bùi Văn Dũng</t>
  </si>
  <si>
    <t>B25DCCC138</t>
  </si>
  <si>
    <t>Chu Bảo Minh</t>
  </si>
  <si>
    <t>B25DCCC191</t>
  </si>
  <si>
    <t>Hoàng Minh Quân</t>
  </si>
  <si>
    <t>B25DCCC050</t>
  </si>
  <si>
    <t>Lê Đức Duy</t>
  </si>
  <si>
    <t>B25DCCC285</t>
  </si>
  <si>
    <t>Lương Tuấn Đạt</t>
  </si>
  <si>
    <t>B25DCCC045</t>
  </si>
  <si>
    <t>Lại Mạnh Cường</t>
  </si>
  <si>
    <t>B25DCCC139</t>
  </si>
  <si>
    <t>Nguyễn Bảo Minh</t>
  </si>
  <si>
    <t>B25DCCC002</t>
  </si>
  <si>
    <t>Nguyễn Danh An</t>
  </si>
  <si>
    <t>B25DCCC012</t>
  </si>
  <si>
    <t>B25DCCC192</t>
  </si>
  <si>
    <t>Nguyễn Hữu Quân</t>
  </si>
  <si>
    <t>B25DCCC274</t>
  </si>
  <si>
    <t>Nguyễn Ngọc Ánh</t>
  </si>
  <si>
    <t>B25DCCC080</t>
  </si>
  <si>
    <t>Nguyễn Quốc Huy</t>
  </si>
  <si>
    <t>B25DCCC107</t>
  </si>
  <si>
    <t>Nguyễn Thế Khang</t>
  </si>
  <si>
    <t>B25DCCC049</t>
  </si>
  <si>
    <t>Nguyễn Toàn Diện</t>
  </si>
  <si>
    <t>B25DCCC058</t>
  </si>
  <si>
    <t>Nguyễn Trí Dũng</t>
  </si>
  <si>
    <t>B25DCCC059</t>
  </si>
  <si>
    <t>Nguyễn Tuấn Dũng</t>
  </si>
  <si>
    <t>B25DCCC118</t>
  </si>
  <si>
    <t>Nguyễn Tuấn Kiên</t>
  </si>
  <si>
    <t>B25DCCC073</t>
  </si>
  <si>
    <t>Nguyễn Việt Hoàng</t>
  </si>
  <si>
    <t>B25DCCC182</t>
  </si>
  <si>
    <t>Nguyễn Việt Quang</t>
  </si>
  <si>
    <t>B25DCCC067</t>
  </si>
  <si>
    <t>Nguyễn Xuân Hiếu</t>
  </si>
  <si>
    <t>B25DCCC041</t>
  </si>
  <si>
    <t>Phan Việt Bằng</t>
  </si>
  <si>
    <t>B25DCCC052</t>
  </si>
  <si>
    <t>Phạm Khánh Duy</t>
  </si>
  <si>
    <t>B25DCCC093</t>
  </si>
  <si>
    <t>Phạm Nguyễn Việt Hùng</t>
  </si>
  <si>
    <t>B25DCCC053</t>
  </si>
  <si>
    <t>Phạm Quang Duy</t>
  </si>
  <si>
    <t>B25DCCC100</t>
  </si>
  <si>
    <t>Phạm Quốc Hưng</t>
  </si>
  <si>
    <t>B25DCCC130</t>
  </si>
  <si>
    <t>Trần Bảo Long</t>
  </si>
  <si>
    <t>B25DCCC022</t>
  </si>
  <si>
    <t>Trần Ngọc Hoàng Anh</t>
  </si>
  <si>
    <t>B25DCCC290</t>
  </si>
  <si>
    <t>B25DCCC179</t>
  </si>
  <si>
    <t>Trần Đức Phước</t>
  </si>
  <si>
    <t>B25DCCC038</t>
  </si>
  <si>
    <t>Ôn Gia Bảo</t>
  </si>
  <si>
    <t>B25DCCC039</t>
  </si>
  <si>
    <t>Đinh Nguyễn Trọng Bảo</t>
  </si>
  <si>
    <t>B25DCCC145</t>
  </si>
  <si>
    <t>Đinh Tuấn Minh</t>
  </si>
  <si>
    <t>B25DCCC186</t>
  </si>
  <si>
    <t>Đặng Minh Quang</t>
  </si>
  <si>
    <t>B25DCCC029</t>
  </si>
  <si>
    <t>Đỗ Văn Anh</t>
  </si>
  <si>
    <t>Ca 5</t>
  </si>
  <si>
    <t>B25DCCC242</t>
  </si>
  <si>
    <t>Bàn Nam Tuấn</t>
  </si>
  <si>
    <t>INT1313-20252-10</t>
  </si>
  <si>
    <t>B25DCCC150</t>
  </si>
  <si>
    <t>Dương Hoài Nam</t>
  </si>
  <si>
    <t>B25DCCC264</t>
  </si>
  <si>
    <t>Hoàng Quốc Việt</t>
  </si>
  <si>
    <t>B25DCCC036</t>
  </si>
  <si>
    <t>Hồ Bá Bảo</t>
  </si>
  <si>
    <t>B25DCCC271</t>
  </si>
  <si>
    <t>Lê Hoài Vũ</t>
  </si>
  <si>
    <t>B25DCCC071</t>
  </si>
  <si>
    <t>Lê Hải Hoàng</t>
  </si>
  <si>
    <t>B25DCCC220</t>
  </si>
  <si>
    <t>Lê Toàn Thắng</t>
  </si>
  <si>
    <t>B25DCCC295</t>
  </si>
  <si>
    <t>Lê Xuân Đức</t>
  </si>
  <si>
    <t>B25DCCC208</t>
  </si>
  <si>
    <t>Nguyễn Hữu Thành</t>
  </si>
  <si>
    <t>B25DCCC088</t>
  </si>
  <si>
    <t>Nguyễn Mạnh Hà</t>
  </si>
  <si>
    <t>B23DCCC067</t>
  </si>
  <si>
    <t>Nguyễn Phúc Bảo Hiếu</t>
  </si>
  <si>
    <t>D23CCHT02</t>
  </si>
  <si>
    <t>B25DCCC142</t>
  </si>
  <si>
    <t>Nguyễn Quang Minh</t>
  </si>
  <si>
    <t>B25DCCC162</t>
  </si>
  <si>
    <t>Nguyễn Quý Nhân</t>
  </si>
  <si>
    <t>B25DCCC152</t>
  </si>
  <si>
    <t>Nguyễn Thế Nam</t>
  </si>
  <si>
    <t>B25DCCC125</t>
  </si>
  <si>
    <t>Nguyễn Thị Linh</t>
  </si>
  <si>
    <t>B25DCCC263</t>
  </si>
  <si>
    <t>Nguyễn Đức Vinh</t>
  </si>
  <si>
    <t>B25DCCC204</t>
  </si>
  <si>
    <t>Phan Thị Thanh</t>
  </si>
  <si>
    <t>B25DCCC082</t>
  </si>
  <si>
    <t>Phí Quang Huy</t>
  </si>
  <si>
    <t>B25DCCC233</t>
  </si>
  <si>
    <t>Phạm Duy Đức Trung</t>
  </si>
  <si>
    <t>B25DCCC068</t>
  </si>
  <si>
    <t>Phạm Ngọc Trung Hiếu</t>
  </si>
  <si>
    <t>B25DCCC235</t>
  </si>
  <si>
    <t>Phạm Ngọc Trí</t>
  </si>
  <si>
    <t>B25DCCC020</t>
  </si>
  <si>
    <t>Phạm Tuấn Anh</t>
  </si>
  <si>
    <t>B25DCCC113</t>
  </si>
  <si>
    <t>Phạm Đăng Khoa</t>
  </si>
  <si>
    <t>B25DCCC005</t>
  </si>
  <si>
    <t>Thái Quốc An</t>
  </si>
  <si>
    <t>B25DCCC108</t>
  </si>
  <si>
    <t>Trương Tuấn Khang</t>
  </si>
  <si>
    <t>B25DCCC194</t>
  </si>
  <si>
    <t>Trần Minh Quân</t>
  </si>
  <si>
    <t>B25DCCC127</t>
  </si>
  <si>
    <t>Trần Thị Bảo Linh</t>
  </si>
  <si>
    <t>B25DCCC270</t>
  </si>
  <si>
    <t>Vi Thế Vĩ</t>
  </si>
  <si>
    <t>B25DCCC026</t>
  </si>
  <si>
    <t>Vũ Duy Anh</t>
  </si>
  <si>
    <t>B25DCCC096</t>
  </si>
  <si>
    <t>Vũ Quốc Hùng</t>
  </si>
  <si>
    <t>B25DCCC228</t>
  </si>
  <si>
    <t>Vũ Đình Khánh Toàn</t>
  </si>
  <si>
    <t>B25DCCC149</t>
  </si>
  <si>
    <t>Đào Thế Mạnh</t>
  </si>
  <si>
    <t>Ca 6</t>
  </si>
  <si>
    <t>B25DCCC003</t>
  </si>
  <si>
    <t>INT1313-20252-07</t>
  </si>
  <si>
    <t>B25DCCC294</t>
  </si>
  <si>
    <t>B25DCCC158</t>
  </si>
  <si>
    <t>B25DCCC300</t>
  </si>
  <si>
    <t>B25DCCC276</t>
  </si>
  <si>
    <t>B25DCCC282</t>
  </si>
  <si>
    <t>B25DCCC275</t>
  </si>
  <si>
    <t>B25DCCC123</t>
  </si>
  <si>
    <t>Dương Thị Diệu Linh</t>
  </si>
  <si>
    <t>B25DCCC062</t>
  </si>
  <si>
    <t>Hà Minh Dương</t>
  </si>
  <si>
    <t>B25DCCC279</t>
  </si>
  <si>
    <t>Lê Hải Đăng</t>
  </si>
  <si>
    <t>B25DCCC011</t>
  </si>
  <si>
    <t>Nguyễn Bá Nhật Anh</t>
  </si>
  <si>
    <t>B25DCCC109</t>
  </si>
  <si>
    <t>Nguyễn Bế Khanh</t>
  </si>
  <si>
    <t>B25DCCC172</t>
  </si>
  <si>
    <t>Nguyễn Chính Phát</t>
  </si>
  <si>
    <t>B25DCCC140</t>
  </si>
  <si>
    <t>Nguyễn Gia Minh</t>
  </si>
  <si>
    <t>B25DCCC079</t>
  </si>
  <si>
    <t>Nguyễn Hoàng Gia Huy</t>
  </si>
  <si>
    <t>B25DCCC281</t>
  </si>
  <si>
    <t>Nguyễn Hải Đăng</t>
  </si>
  <si>
    <t>B25DCCC156</t>
  </si>
  <si>
    <t>Nguyễn Lâm Nguyên</t>
  </si>
  <si>
    <t>B25DCCC072</t>
  </si>
  <si>
    <t>Nguyễn Minh Hoàng</t>
  </si>
  <si>
    <t>B25DCCC087</t>
  </si>
  <si>
    <t>Nguyễn Thu Huệ</t>
  </si>
  <si>
    <t>B25DCCC016</t>
  </si>
  <si>
    <t>B25DCCC134</t>
  </si>
  <si>
    <t>Nguyễn Đức Lộc</t>
  </si>
  <si>
    <t>B25DCCC111</t>
  </si>
  <si>
    <t>Ngô Đăng Khoa</t>
  </si>
  <si>
    <t>B25DCCC143</t>
  </si>
  <si>
    <t>Phạm Quang Minh</t>
  </si>
  <si>
    <t>B25DCCC288</t>
  </si>
  <si>
    <t>Phạm Thành Đạt</t>
  </si>
  <si>
    <t>B25DCCC167</t>
  </si>
  <si>
    <t>Trương Quốc Phan</t>
  </si>
  <si>
    <t>B25DCCC021</t>
  </si>
  <si>
    <t>Trần Nam Anh</t>
  </si>
  <si>
    <t>B25DCCC023</t>
  </si>
  <si>
    <t>Trần Quốc Anh</t>
  </si>
  <si>
    <t>B25DCCC133</t>
  </si>
  <si>
    <t>Trần Thị Lương</t>
  </si>
  <si>
    <t>B25DCCC095</t>
  </si>
  <si>
    <t>Vũ Mạnh Hùng</t>
  </si>
  <si>
    <t>B25DCCC304</t>
  </si>
  <si>
    <t>Đinh Trọng Đức</t>
  </si>
  <si>
    <t>B25DCCC171</t>
  </si>
  <si>
    <t>Đàm Đức Phong</t>
  </si>
  <si>
    <t>B25DCCC103</t>
  </si>
  <si>
    <t>Đặng Tuấn Hưng</t>
  </si>
  <si>
    <t>B25DCCC166</t>
  </si>
  <si>
    <t>Đỗ Doãn Minh Nhật</t>
  </si>
  <si>
    <t>B25DCCC116</t>
  </si>
  <si>
    <t>Đỗ Viết Anh Khôi</t>
  </si>
  <si>
    <t>B25DCCC198</t>
  </si>
  <si>
    <t>Đỗ Vũ Hồng Quân</t>
  </si>
  <si>
    <t>Ca 7</t>
  </si>
  <si>
    <t>B25DCCC190</t>
  </si>
  <si>
    <t>Dương Khắc Quân</t>
  </si>
  <si>
    <t>B25DCCC258</t>
  </si>
  <si>
    <t>Dương Tuấn Tú</t>
  </si>
  <si>
    <t>B25DCCC243</t>
  </si>
  <si>
    <t>Hà Lê Anh Tuấn</t>
  </si>
  <si>
    <t>B25DCCC272</t>
  </si>
  <si>
    <t>Lưu Huy Vũ</t>
  </si>
  <si>
    <t>B25DCCC232</t>
  </si>
  <si>
    <t>Nguyễn An Trung</t>
  </si>
  <si>
    <t>B25DCCC181</t>
  </si>
  <si>
    <t>Nguyễn Anh Quang</t>
  </si>
  <si>
    <t>B25DCCC217</t>
  </si>
  <si>
    <t>Nguyễn Anh Thư</t>
  </si>
  <si>
    <t>B25DCCC259</t>
  </si>
  <si>
    <t>Nguyễn Anh Tú</t>
  </si>
  <si>
    <t>B25DCCC225</t>
  </si>
  <si>
    <t>Nguyễn Danh Toàn</t>
  </si>
  <si>
    <t>B25DCCC226</t>
  </si>
  <si>
    <t>Nguyễn Duy Toàn</t>
  </si>
  <si>
    <t>B25DCCC177</t>
  </si>
  <si>
    <t>Nguyễn Hà Đình Phúc</t>
  </si>
  <si>
    <t>B25DCCC187</t>
  </si>
  <si>
    <t>Nguyễn Hữu Quyết</t>
  </si>
  <si>
    <t>B25DCCC219</t>
  </si>
  <si>
    <t>Nguyễn Thị Phương Thảo</t>
  </si>
  <si>
    <t>B25DCCC210</t>
  </si>
  <si>
    <t>Nguyễn Tiến Thành</t>
  </si>
  <si>
    <t>B25DCCC265</t>
  </si>
  <si>
    <t>Nguyễn Tiến Việt</t>
  </si>
  <si>
    <t>B25DCCC240</t>
  </si>
  <si>
    <t>Nguyễn Trọng Tuyên</t>
  </si>
  <si>
    <t>B25DCCC247</t>
  </si>
  <si>
    <t>Ngô Huy Tuấn</t>
  </si>
  <si>
    <t>B25DCCC273</t>
  </si>
  <si>
    <t>Phạm Minh Vũ</t>
  </si>
  <si>
    <t>B25DCCC215</t>
  </si>
  <si>
    <t>Phạm Phương Thúy</t>
  </si>
  <si>
    <t>B25DCCC212</t>
  </si>
  <si>
    <t>Phạm Quốc Thái</t>
  </si>
  <si>
    <t>B25DCCC230</t>
  </si>
  <si>
    <t>Phạm Thùy Trang</t>
  </si>
  <si>
    <t>B25DCCC255</t>
  </si>
  <si>
    <t>Trương Hoàng Tùng</t>
  </si>
  <si>
    <t>B25DCCC214</t>
  </si>
  <si>
    <t>Trần Văn Thái</t>
  </si>
  <si>
    <t>B25DCCC241</t>
  </si>
  <si>
    <t>Trần Văn Tuyên</t>
  </si>
  <si>
    <t>B25DCCC227</t>
  </si>
  <si>
    <t>Trần Xuân Toàn</t>
  </si>
  <si>
    <t>B25DCCC261</t>
  </si>
  <si>
    <t>Trịnh Anh Tú</t>
  </si>
  <si>
    <t>B25DCCC222</t>
  </si>
  <si>
    <t>Vũ Minh Thức</t>
  </si>
  <si>
    <t>B25DCCC221</t>
  </si>
  <si>
    <t>Đinh Văn Thặng</t>
  </si>
  <si>
    <t>B25DCCC238</t>
  </si>
  <si>
    <t>Đoàn Phúc Trị</t>
  </si>
  <si>
    <t>B25DCCC229</t>
  </si>
  <si>
    <t>Đỗ Văn Toàn</t>
  </si>
  <si>
    <t>Ca 8</t>
  </si>
  <si>
    <t>B25DCCC211</t>
  </si>
  <si>
    <t>B25DCCC168</t>
  </si>
  <si>
    <t>Bùi Nhật Phong</t>
  </si>
  <si>
    <t>B25DCCC189</t>
  </si>
  <si>
    <t>Hoàng Ngọc Quyền</t>
  </si>
  <si>
    <t>B25DCCC164</t>
  </si>
  <si>
    <t>Hoàng Quang Nhật</t>
  </si>
  <si>
    <t>B25DCCC203</t>
  </si>
  <si>
    <t>Hoàng Thái Sơn</t>
  </si>
  <si>
    <t>B25DCCC244</t>
  </si>
  <si>
    <t>Hồ Sỹ Anh Tuấn</t>
  </si>
  <si>
    <t>B25DCCC223</t>
  </si>
  <si>
    <t>Lâm Phúc Tiến</t>
  </si>
  <si>
    <t>B25DCCC146</t>
  </si>
  <si>
    <t>Lê Duy Mạnh</t>
  </si>
  <si>
    <t>B25DCCC202</t>
  </si>
  <si>
    <t>Lê Duy Sáng</t>
  </si>
  <si>
    <t>B25DCCC252</t>
  </si>
  <si>
    <t>Lê Trạch Tùng</t>
  </si>
  <si>
    <t>B25DCCC245</t>
  </si>
  <si>
    <t>Mai Hà Anh Tuấn</t>
  </si>
  <si>
    <t>B25DCCC253</t>
  </si>
  <si>
    <t>Mai Lâm Tùng</t>
  </si>
  <si>
    <t>B25DCCC161</t>
  </si>
  <si>
    <t>Nguyễn Hoàng Bảo Nhân</t>
  </si>
  <si>
    <t>B25DCCC254</t>
  </si>
  <si>
    <t>Nguyễn Hoàng Tùng</t>
  </si>
  <si>
    <t>B25DCCC205</t>
  </si>
  <si>
    <t>Nguyễn Hà Thoại</t>
  </si>
  <si>
    <t>B25DCCC154</t>
  </si>
  <si>
    <t>Nguyễn Hồ Thanh Nga</t>
  </si>
  <si>
    <t>B25DCCC251</t>
  </si>
  <si>
    <t>Nguyễn Hữu Anh Tài</t>
  </si>
  <si>
    <t>B25DCCC178</t>
  </si>
  <si>
    <t>Nguyễn Khắc Phúc</t>
  </si>
  <si>
    <t>B25DCCC206</t>
  </si>
  <si>
    <t>Nguyễn Như Thuyết</t>
  </si>
  <si>
    <t>B25DCCC199</t>
  </si>
  <si>
    <t>Nguyễn Phú Quý</t>
  </si>
  <si>
    <t>B25DCCC246</t>
  </si>
  <si>
    <t>Nguyễn Quốc Tuấn</t>
  </si>
  <si>
    <t>B25DCCC237</t>
  </si>
  <si>
    <t>Nguyễn Thiên Trường</t>
  </si>
  <si>
    <t>B25DCCC148</t>
  </si>
  <si>
    <t>Nguyễn Tuấn Đức Mạnh</t>
  </si>
  <si>
    <t>B25DCCC224</t>
  </si>
  <si>
    <t>Nguyễn Văn Tiến</t>
  </si>
  <si>
    <t>B25DCCC183</t>
  </si>
  <si>
    <t>Nguyễn Đức Quang</t>
  </si>
  <si>
    <t>B25DCCC126</t>
  </si>
  <si>
    <t>Ngô Gia Linh</t>
  </si>
  <si>
    <t>B25DCCC266</t>
  </si>
  <si>
    <t>Ngô Quốc Việt</t>
  </si>
  <si>
    <t>B25DCCC170</t>
  </si>
  <si>
    <t>Ngô Thanh Phong</t>
  </si>
  <si>
    <t>B25DCCC248</t>
  </si>
  <si>
    <t>Phạm Anh Tuấn</t>
  </si>
  <si>
    <t>B25DCCC267</t>
  </si>
  <si>
    <t>Phạm Bá Việt</t>
  </si>
  <si>
    <t>B25DCCC218</t>
  </si>
  <si>
    <t>Phạm Thị Thương</t>
  </si>
  <si>
    <t>B25DCCC213</t>
  </si>
  <si>
    <t>Phạm Đỗ Đình Thái</t>
  </si>
  <si>
    <t>B25DCCC260</t>
  </si>
  <si>
    <t>Trần Anh Tú</t>
  </si>
  <si>
    <t>B25DCCC256</t>
  </si>
  <si>
    <t>Trần Bùi Thanh Tùng</t>
  </si>
  <si>
    <t>B25DCCC188</t>
  </si>
  <si>
    <t>Trần Ngọc Quyết</t>
  </si>
  <si>
    <t>B25DCCC231</t>
  </si>
  <si>
    <t>Trần Thu Trang</t>
  </si>
  <si>
    <t>B25DCCC201</t>
  </si>
  <si>
    <t>Trần Tấn Sang</t>
  </si>
  <si>
    <t>B25DCCC236</t>
  </si>
  <si>
    <t>Trịnh Minh Trí</t>
  </si>
  <si>
    <t>B25DCCC128</t>
  </si>
  <si>
    <t>Trịnh Phương Linh</t>
  </si>
  <si>
    <t>B25DCCC175</t>
  </si>
  <si>
    <t>Tô Đông Phú</t>
  </si>
  <si>
    <t>B25DCCC257</t>
  </si>
  <si>
    <t>Vũ Minh Tùng</t>
  </si>
  <si>
    <t>B25DCCC195</t>
  </si>
  <si>
    <t>Vũ Văn Quân</t>
  </si>
  <si>
    <t>B25DCCC249</t>
  </si>
  <si>
    <t>Vương Sỹ Mạnh Tuấn</t>
  </si>
  <si>
    <t>B25DCCC196</t>
  </si>
  <si>
    <t>Vương Tá Quân</t>
  </si>
  <si>
    <t>B25DCCC197</t>
  </si>
  <si>
    <t>Đinh Minh Quân</t>
  </si>
  <si>
    <t>B25DCCC250</t>
  </si>
  <si>
    <t>Đinh Quốc Tuấn</t>
  </si>
  <si>
    <t>B25DCCC160</t>
  </si>
  <si>
    <t>Đào Thị Nhung</t>
  </si>
  <si>
    <t>B25DCCC216</t>
  </si>
  <si>
    <t>Đặng Phương Thúy</t>
  </si>
  <si>
    <t>B25DCCC269</t>
  </si>
  <si>
    <t>Đặng Đức Việt</t>
  </si>
  <si>
    <t>—</t>
  </si>
  <si>
    <t>B25DCCC055</t>
  </si>
  <si>
    <t>Bùi Minh Dũng</t>
  </si>
  <si>
    <t>B25DCCC092</t>
  </si>
  <si>
    <t>Phan Lê Hùng</t>
  </si>
  <si>
    <t>B25DCCC280</t>
  </si>
  <si>
    <t>B25DCCC286</t>
  </si>
  <si>
    <t>Nguyễn Thành Đạt</t>
  </si>
  <si>
    <t>Điểm trung bình chung</t>
  </si>
  <si>
    <t>THÔNG TIN CÁC CA THI</t>
  </si>
  <si>
    <t>Số sinh viên (TN)</t>
  </si>
  <si>
    <t>Số sinh viên (SQL)</t>
  </si>
  <si>
    <t>Điểm tổng kết TB</t>
  </si>
  <si>
    <t>PHÂN BỐ ĐIỂM THI</t>
  </si>
  <si>
    <t>Khoảng điểm</t>
  </si>
  <si>
    <t>Số SV - Điểm TN</t>
  </si>
  <si>
    <t>Số SV - Điểm SQL</t>
  </si>
  <si>
    <t>Số SV - Điểm tổng kết</t>
  </si>
  <si>
    <t>0 - &lt;1</t>
  </si>
  <si>
    <t>1 - &lt;2</t>
  </si>
  <si>
    <t>2 - &lt;3</t>
  </si>
  <si>
    <t>3 - &lt;4</t>
  </si>
  <si>
    <t>4 - &lt;5</t>
  </si>
  <si>
    <t>5 - &lt;6</t>
  </si>
  <si>
    <t>6 - &lt;7</t>
  </si>
  <si>
    <t>7 - &lt;8</t>
  </si>
  <si>
    <t>8 - &lt;9</t>
  </si>
  <si>
    <t>9 - 10</t>
  </si>
  <si>
    <t>Tổng</t>
  </si>
  <si>
    <t>Nguyễn Tài Khánh An</t>
  </si>
  <si>
    <t>Nguyễn Xuân Minh Ngọc</t>
  </si>
  <si>
    <t>Đỗ Trí Thành</t>
  </si>
  <si>
    <t>Nguyễn Văn Đà</t>
  </si>
  <si>
    <t>Nguyễn Phương Đông</t>
  </si>
  <si>
    <t>GPA</t>
  </si>
  <si>
    <t>Lê Anh Đức</t>
  </si>
  <si>
    <t>Nguyễn Văn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</si>
</sst>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b/>
      <i/>
      <sz val="9"/>
      <color rgb="FFCC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2" fontId="5" fillId="0" borderId="0" xfId="0" applyNumberFormat="1" applyFo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2" fontId="3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2" fontId="3" fillId="3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/>
    </xf>
    <xf numFmtId="2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2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0" borderId="0" xfId="0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7030A0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4D6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Phân bố điểm thi theo khoảng điểm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'Phân bố điểm'!$B$3</c:f>
              <c:strCache>
                <c:ptCount val="1"/>
                <c:pt idx="0">
                  <c:v>Số SV - Điểm TN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'Phân bố điểm'!$A$4:$A$13</c:f>
              <c:strCache>
                <c:ptCount val="10"/>
                <c:pt idx="0">
                  <c:v>0 - &lt;1</c:v>
                </c:pt>
                <c:pt idx="1">
                  <c:v>1 - &lt;2</c:v>
                </c:pt>
                <c:pt idx="2">
                  <c:v>2 - &lt;3</c:v>
                </c:pt>
                <c:pt idx="3">
                  <c:v>3 - &lt;4</c:v>
                </c:pt>
                <c:pt idx="4">
                  <c:v>4 - &lt;5</c:v>
                </c:pt>
                <c:pt idx="5">
                  <c:v>5 - &lt;6</c:v>
                </c:pt>
                <c:pt idx="6">
                  <c:v>6 - &lt;7</c:v>
                </c:pt>
                <c:pt idx="7">
                  <c:v>7 - &lt;8</c:v>
                </c:pt>
                <c:pt idx="8">
                  <c:v>8 - &lt;9</c:v>
                </c:pt>
                <c:pt idx="9">
                  <c:v>9 - 10</c:v>
                </c:pt>
              </c:strCache>
            </c:strRef>
          </c:cat>
          <c:val>
            <c:numRef>
              <c:f>'Phân bố điểm'!$B$4:$B$13</c:f>
              <c:numCache>
                <c:formatCode>General</c:formatCode>
                <c:ptCount val="10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</c:v>
                </c:pt>
                <c:pt idx="5">
                  <c:v>33</c:v>
                </c:pt>
                <c:pt idx="6">
                  <c:v>60</c:v>
                </c:pt>
                <c:pt idx="7">
                  <c:v>67</c:v>
                </c:pt>
                <c:pt idx="8">
                  <c:v>64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F-4F8F-A109-49F01DB667DF}"/>
            </c:ext>
          </c:extLst>
        </c:ser>
        <c:ser>
          <c:idx val="1"/>
          <c:order val="1"/>
          <c:tx>
            <c:strRef>
              <c:f>'Phân bố điểm'!$C$3</c:f>
              <c:strCache>
                <c:ptCount val="1"/>
                <c:pt idx="0">
                  <c:v>Số SV - Điểm SQL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'Phân bố điểm'!$A$4:$A$13</c:f>
              <c:strCache>
                <c:ptCount val="10"/>
                <c:pt idx="0">
                  <c:v>0 - &lt;1</c:v>
                </c:pt>
                <c:pt idx="1">
                  <c:v>1 - &lt;2</c:v>
                </c:pt>
                <c:pt idx="2">
                  <c:v>2 - &lt;3</c:v>
                </c:pt>
                <c:pt idx="3">
                  <c:v>3 - &lt;4</c:v>
                </c:pt>
                <c:pt idx="4">
                  <c:v>4 - &lt;5</c:v>
                </c:pt>
                <c:pt idx="5">
                  <c:v>5 - &lt;6</c:v>
                </c:pt>
                <c:pt idx="6">
                  <c:v>6 - &lt;7</c:v>
                </c:pt>
                <c:pt idx="7">
                  <c:v>7 - &lt;8</c:v>
                </c:pt>
                <c:pt idx="8">
                  <c:v>8 - &lt;9</c:v>
                </c:pt>
                <c:pt idx="9">
                  <c:v>9 - 10</c:v>
                </c:pt>
              </c:strCache>
            </c:strRef>
          </c:cat>
          <c:val>
            <c:numRef>
              <c:f>'Phân bố điểm'!$C$4:$C$13</c:f>
              <c:numCache>
                <c:formatCode>General</c:formatCode>
                <c:ptCount val="10"/>
                <c:pt idx="0">
                  <c:v>23</c:v>
                </c:pt>
                <c:pt idx="1">
                  <c:v>13</c:v>
                </c:pt>
                <c:pt idx="2">
                  <c:v>7</c:v>
                </c:pt>
                <c:pt idx="3">
                  <c:v>3</c:v>
                </c:pt>
                <c:pt idx="4">
                  <c:v>75</c:v>
                </c:pt>
                <c:pt idx="5">
                  <c:v>18</c:v>
                </c:pt>
                <c:pt idx="6">
                  <c:v>70</c:v>
                </c:pt>
                <c:pt idx="7">
                  <c:v>32</c:v>
                </c:pt>
                <c:pt idx="8">
                  <c:v>33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BF-4F8F-A109-49F01DB667DF}"/>
            </c:ext>
          </c:extLst>
        </c:ser>
        <c:ser>
          <c:idx val="2"/>
          <c:order val="2"/>
          <c:tx>
            <c:strRef>
              <c:f>'Phân bố điểm'!$D$3</c:f>
              <c:strCache>
                <c:ptCount val="1"/>
                <c:pt idx="0">
                  <c:v>Số SV - Điểm tổng kết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'Phân bố điểm'!$A$4:$A$13</c:f>
              <c:strCache>
                <c:ptCount val="10"/>
                <c:pt idx="0">
                  <c:v>0 - &lt;1</c:v>
                </c:pt>
                <c:pt idx="1">
                  <c:v>1 - &lt;2</c:v>
                </c:pt>
                <c:pt idx="2">
                  <c:v>2 - &lt;3</c:v>
                </c:pt>
                <c:pt idx="3">
                  <c:v>3 - &lt;4</c:v>
                </c:pt>
                <c:pt idx="4">
                  <c:v>4 - &lt;5</c:v>
                </c:pt>
                <c:pt idx="5">
                  <c:v>5 - &lt;6</c:v>
                </c:pt>
                <c:pt idx="6">
                  <c:v>6 - &lt;7</c:v>
                </c:pt>
                <c:pt idx="7">
                  <c:v>7 - &lt;8</c:v>
                </c:pt>
                <c:pt idx="8">
                  <c:v>8 - &lt;9</c:v>
                </c:pt>
                <c:pt idx="9">
                  <c:v>9 - 10</c:v>
                </c:pt>
              </c:strCache>
            </c:strRef>
          </c:cat>
          <c:val>
            <c:numRef>
              <c:f>'Phân bố điểm'!$D$4:$D$13</c:f>
              <c:numCache>
                <c:formatCode>General</c:formatCode>
                <c:ptCount val="10"/>
                <c:pt idx="0">
                  <c:v>23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20</c:v>
                </c:pt>
                <c:pt idx="5">
                  <c:v>59</c:v>
                </c:pt>
                <c:pt idx="6">
                  <c:v>72</c:v>
                </c:pt>
                <c:pt idx="7">
                  <c:v>57</c:v>
                </c:pt>
                <c:pt idx="8">
                  <c:v>35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BF-4F8F-A109-49F01DB66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18164"/>
        <c:axId val="33226942"/>
      </c:barChart>
      <c:catAx>
        <c:axId val="39181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Khoảng điểm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3226942"/>
        <c:crosses val="autoZero"/>
        <c:auto val="1"/>
        <c:lblAlgn val="ctr"/>
        <c:lblOffset val="100"/>
        <c:noMultiLvlLbl val="0"/>
      </c:catAx>
      <c:valAx>
        <c:axId val="33226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Số sinh viên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181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Phân bố Điểm tổng kết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'Phân bố điểm'!$D$3</c:f>
              <c:strCache>
                <c:ptCount val="1"/>
                <c:pt idx="0">
                  <c:v>Số SV - Điểm tổng kết</c:v>
                </c:pt>
              </c:strCache>
            </c:strRef>
          </c:tx>
          <c:spPr>
            <a:solidFill>
              <a:srgbClr val="7030A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'Phân bố điểm'!$A$4:$A$13</c:f>
              <c:strCache>
                <c:ptCount val="10"/>
                <c:pt idx="0">
                  <c:v>0 - &lt;1</c:v>
                </c:pt>
                <c:pt idx="1">
                  <c:v>1 - &lt;2</c:v>
                </c:pt>
                <c:pt idx="2">
                  <c:v>2 - &lt;3</c:v>
                </c:pt>
                <c:pt idx="3">
                  <c:v>3 - &lt;4</c:v>
                </c:pt>
                <c:pt idx="4">
                  <c:v>4 - &lt;5</c:v>
                </c:pt>
                <c:pt idx="5">
                  <c:v>5 - &lt;6</c:v>
                </c:pt>
                <c:pt idx="6">
                  <c:v>6 - &lt;7</c:v>
                </c:pt>
                <c:pt idx="7">
                  <c:v>7 - &lt;8</c:v>
                </c:pt>
                <c:pt idx="8">
                  <c:v>8 - &lt;9</c:v>
                </c:pt>
                <c:pt idx="9">
                  <c:v>9 - 10</c:v>
                </c:pt>
              </c:strCache>
            </c:strRef>
          </c:cat>
          <c:val>
            <c:numRef>
              <c:f>'Phân bố điểm'!$D$4:$D$13</c:f>
              <c:numCache>
                <c:formatCode>General</c:formatCode>
                <c:ptCount val="10"/>
                <c:pt idx="0">
                  <c:v>23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20</c:v>
                </c:pt>
                <c:pt idx="5">
                  <c:v>59</c:v>
                </c:pt>
                <c:pt idx="6">
                  <c:v>72</c:v>
                </c:pt>
                <c:pt idx="7">
                  <c:v>57</c:v>
                </c:pt>
                <c:pt idx="8">
                  <c:v>35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2-4290-8D51-4C9C1A43F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37544"/>
        <c:axId val="46446370"/>
      </c:barChart>
      <c:catAx>
        <c:axId val="881375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Khoảng điểm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6446370"/>
        <c:crosses val="autoZero"/>
        <c:auto val="1"/>
        <c:lblAlgn val="ctr"/>
        <c:lblOffset val="100"/>
        <c:noMultiLvlLbl val="0"/>
      </c:catAx>
      <c:valAx>
        <c:axId val="46446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Số sinh viên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81375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17</xdr:col>
      <xdr:colOff>579960</xdr:colOff>
      <xdr:row>20</xdr:row>
      <xdr:rowOff>169200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15</xdr:col>
      <xdr:colOff>362880</xdr:colOff>
      <xdr:row>39</xdr:row>
      <xdr:rowOff>169200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"/>
  <sheetViews>
    <sheetView tabSelected="1" topLeftCell="B1" zoomScaleNormal="100" workbookViewId="0">
      <pane ySplit="3" topLeftCell="A244" activePane="bottomLeft" state="frozen"/>
      <selection pane="bottomLeft" activeCell="O270" sqref="O270"/>
    </sheetView>
  </sheetViews>
  <sheetFormatPr defaultColWidth="8.7109375" defaultRowHeight="15" x14ac:dyDescent="0.25"/>
  <cols>
    <col min="1" max="1" width="6" customWidth="1"/>
    <col min="2" max="2" width="8" customWidth="1"/>
    <col min="3" max="3" width="16" customWidth="1"/>
    <col min="4" max="4" width="24" customWidth="1"/>
    <col min="5" max="5" width="14.28515625" bestFit="1" customWidth="1"/>
    <col min="6" max="6" width="15.7109375" bestFit="1" customWidth="1"/>
    <col min="7" max="7" width="19.7109375" bestFit="1" customWidth="1"/>
    <col min="8" max="8" width="13" customWidth="1"/>
    <col min="9" max="9" width="16" customWidth="1"/>
    <col min="10" max="10" width="20" customWidth="1"/>
    <col min="11" max="11" width="14" customWidth="1"/>
    <col min="12" max="12" width="12" customWidth="1"/>
    <col min="13" max="14" width="18" customWidth="1"/>
    <col min="15" max="15" width="15.140625" bestFit="1" customWidth="1"/>
  </cols>
  <sheetData>
    <row r="1" spans="1:15" ht="17.25" customHeight="1" x14ac:dyDescent="0.25">
      <c r="A1" s="1" t="s">
        <v>0</v>
      </c>
      <c r="B1" s="1"/>
      <c r="C1" s="1"/>
      <c r="D1" s="1"/>
      <c r="E1" s="1"/>
      <c r="F1" s="1"/>
      <c r="G1" s="1"/>
    </row>
    <row r="3" spans="1:15" ht="15" customHeight="1" x14ac:dyDescent="0.25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630</v>
      </c>
    </row>
    <row r="4" spans="1:15" ht="15" customHeight="1" x14ac:dyDescent="0.25">
      <c r="A4" s="12">
        <v>120</v>
      </c>
      <c r="B4" s="12" t="s">
        <v>236</v>
      </c>
      <c r="C4" s="12" t="s">
        <v>265</v>
      </c>
      <c r="D4" s="13" t="s">
        <v>266</v>
      </c>
      <c r="E4" s="14">
        <v>10</v>
      </c>
      <c r="F4" s="14">
        <v>9.8000000000000007</v>
      </c>
      <c r="G4" s="15">
        <f>IF(OR(E4=0,F4=0),0,E4*0.5+F4*0.5)</f>
        <v>9.9</v>
      </c>
      <c r="H4" s="16">
        <v>39371</v>
      </c>
      <c r="I4" s="12" t="s">
        <v>70</v>
      </c>
      <c r="J4" s="12" t="s">
        <v>239</v>
      </c>
      <c r="K4" s="12" t="s">
        <v>20</v>
      </c>
      <c r="L4" s="14">
        <v>10</v>
      </c>
      <c r="M4" s="14">
        <v>10</v>
      </c>
      <c r="N4" s="14">
        <v>10</v>
      </c>
      <c r="O4" s="17">
        <f>ROUND(IF(OR(G4=0,L4=0,M4=0,N4=0),0, G4*0.5+L4*0.1+M4*0.2+N4*0.2), 1)</f>
        <v>10</v>
      </c>
    </row>
    <row r="5" spans="1:15" ht="15" customHeight="1" x14ac:dyDescent="0.25">
      <c r="A5" s="12">
        <v>17</v>
      </c>
      <c r="B5" s="12" t="s">
        <v>15</v>
      </c>
      <c r="C5" s="18" t="s">
        <v>54</v>
      </c>
      <c r="D5" s="19" t="s">
        <v>55</v>
      </c>
      <c r="E5" s="20">
        <v>10</v>
      </c>
      <c r="F5" s="20">
        <v>10</v>
      </c>
      <c r="G5" s="21">
        <f>IF(OR(E5=0,F5=0),0,E5*0.5+F5*0.5)</f>
        <v>10</v>
      </c>
      <c r="H5" s="22">
        <v>39397</v>
      </c>
      <c r="I5" s="18" t="s">
        <v>28</v>
      </c>
      <c r="J5" s="18" t="s">
        <v>19</v>
      </c>
      <c r="K5" s="18" t="s">
        <v>20</v>
      </c>
      <c r="L5" s="14">
        <v>10</v>
      </c>
      <c r="M5" s="14">
        <v>8.5</v>
      </c>
      <c r="N5" s="14">
        <v>10</v>
      </c>
      <c r="O5" s="17">
        <f>ROUND(IF(OR(G5=0,L5=0,M5=0,N5=0),0, G5*0.5+L5*0.1+M5*0.2+N5*0.2), 1)</f>
        <v>9.6999999999999993</v>
      </c>
    </row>
    <row r="6" spans="1:15" ht="15" customHeight="1" x14ac:dyDescent="0.25">
      <c r="A6" s="12">
        <v>174</v>
      </c>
      <c r="B6" s="12" t="s">
        <v>373</v>
      </c>
      <c r="C6" s="12" t="s">
        <v>376</v>
      </c>
      <c r="D6" s="13" t="s">
        <v>631</v>
      </c>
      <c r="E6" s="14">
        <v>9.5</v>
      </c>
      <c r="F6" s="14">
        <v>10</v>
      </c>
      <c r="G6" s="15">
        <f>IF(OR(E6=0,F6=0),0,E6*0.5+F6*0.5)</f>
        <v>9.75</v>
      </c>
      <c r="H6" s="16">
        <v>39402</v>
      </c>
      <c r="I6" s="12" t="s">
        <v>49</v>
      </c>
      <c r="J6" s="12" t="s">
        <v>375</v>
      </c>
      <c r="K6" s="12" t="s">
        <v>20</v>
      </c>
      <c r="L6" s="14">
        <v>10</v>
      </c>
      <c r="M6" s="14">
        <v>8</v>
      </c>
      <c r="N6" s="14">
        <v>10</v>
      </c>
      <c r="O6" s="17">
        <f>ROUND(IF(OR(G6=0,L6=0,M6=0,N6=0),0, G6*0.5+L6*0.1+M6*0.2+N6*0.2), 1)</f>
        <v>9.5</v>
      </c>
    </row>
    <row r="7" spans="1:15" ht="15" customHeight="1" x14ac:dyDescent="0.25">
      <c r="A7" s="12">
        <v>258</v>
      </c>
      <c r="B7" s="12" t="s">
        <v>498</v>
      </c>
      <c r="C7" s="12" t="s">
        <v>538</v>
      </c>
      <c r="D7" s="13" t="s">
        <v>539</v>
      </c>
      <c r="E7" s="14">
        <v>9</v>
      </c>
      <c r="F7" s="14">
        <v>10</v>
      </c>
      <c r="G7" s="15">
        <f>IF(OR(E7=0,F7=0),0,E7*0.5+F7*0.5)</f>
        <v>9.5</v>
      </c>
      <c r="H7" s="16">
        <v>39136</v>
      </c>
      <c r="I7" s="12" t="s">
        <v>49</v>
      </c>
      <c r="J7" s="12" t="s">
        <v>375</v>
      </c>
      <c r="K7" s="12" t="s">
        <v>20</v>
      </c>
      <c r="L7" s="14">
        <v>9</v>
      </c>
      <c r="M7" s="14">
        <v>8.5</v>
      </c>
      <c r="N7" s="14">
        <v>10</v>
      </c>
      <c r="O7" s="17">
        <f>ROUND(IF(OR(G7=0,L7=0,M7=0,N7=0),0, G7*0.5+L7*0.1+M7*0.2+N7*0.2), 1)</f>
        <v>9.4</v>
      </c>
    </row>
    <row r="8" spans="1:15" ht="15" customHeight="1" x14ac:dyDescent="0.25">
      <c r="A8" s="12">
        <v>196</v>
      </c>
      <c r="B8" s="12" t="s">
        <v>373</v>
      </c>
      <c r="C8" s="12" t="s">
        <v>413</v>
      </c>
      <c r="D8" s="13" t="s">
        <v>414</v>
      </c>
      <c r="E8" s="14">
        <v>10</v>
      </c>
      <c r="F8" s="14">
        <v>9.5</v>
      </c>
      <c r="G8" s="15">
        <f>IF(OR(E8=0,F8=0),0,E8*0.5+F8*0.5)</f>
        <v>9.75</v>
      </c>
      <c r="H8" s="16">
        <v>39379</v>
      </c>
      <c r="I8" s="12" t="s">
        <v>49</v>
      </c>
      <c r="J8" s="12" t="s">
        <v>375</v>
      </c>
      <c r="K8" s="12" t="s">
        <v>20</v>
      </c>
      <c r="L8" s="14">
        <v>9</v>
      </c>
      <c r="M8" s="14">
        <v>8</v>
      </c>
      <c r="N8" s="14">
        <v>10</v>
      </c>
      <c r="O8" s="17">
        <f>ROUND(IF(OR(G8=0,L8=0,M8=0,N8=0),0, G8*0.5+L8*0.1+M8*0.2+N8*0.2), 1)</f>
        <v>9.4</v>
      </c>
    </row>
    <row r="9" spans="1:15" ht="15" customHeight="1" x14ac:dyDescent="0.25">
      <c r="A9" s="12">
        <v>138</v>
      </c>
      <c r="B9" s="12" t="s">
        <v>236</v>
      </c>
      <c r="C9" s="18" t="s">
        <v>300</v>
      </c>
      <c r="D9" s="19" t="s">
        <v>301</v>
      </c>
      <c r="E9" s="20">
        <v>8</v>
      </c>
      <c r="F9" s="20">
        <v>9</v>
      </c>
      <c r="G9" s="21">
        <f>IF(OR(E9=0,F9=0),0,E9*0.5+F9*0.5)</f>
        <v>8.5</v>
      </c>
      <c r="H9" s="22">
        <v>39302</v>
      </c>
      <c r="I9" s="18" t="s">
        <v>70</v>
      </c>
      <c r="J9" s="18" t="s">
        <v>239</v>
      </c>
      <c r="K9" s="18" t="s">
        <v>20</v>
      </c>
      <c r="L9" s="14">
        <v>10</v>
      </c>
      <c r="M9" s="14">
        <v>10</v>
      </c>
      <c r="N9" s="14">
        <v>10</v>
      </c>
      <c r="O9" s="17">
        <f>ROUND(IF(OR(G9=0,L9=0,M9=0,N9=0),0, G9*0.5+L9*0.1+M9*0.2+N9*0.2), 1)</f>
        <v>9.3000000000000007</v>
      </c>
    </row>
    <row r="10" spans="1:15" ht="15" customHeight="1" x14ac:dyDescent="0.25">
      <c r="A10" s="12">
        <v>260</v>
      </c>
      <c r="B10" s="12" t="s">
        <v>498</v>
      </c>
      <c r="C10" s="12" t="s">
        <v>542</v>
      </c>
      <c r="D10" s="13" t="s">
        <v>543</v>
      </c>
      <c r="E10" s="14">
        <v>10</v>
      </c>
      <c r="F10" s="14">
        <v>9</v>
      </c>
      <c r="G10" s="15">
        <f>IF(OR(E10=0,F10=0),0,E10*0.5+F10*0.5)</f>
        <v>9.5</v>
      </c>
      <c r="H10" s="16">
        <v>39195</v>
      </c>
      <c r="I10" s="12" t="s">
        <v>28</v>
      </c>
      <c r="J10" s="12" t="s">
        <v>19</v>
      </c>
      <c r="K10" s="12" t="s">
        <v>20</v>
      </c>
      <c r="L10" s="14">
        <v>10</v>
      </c>
      <c r="M10" s="14">
        <v>8</v>
      </c>
      <c r="N10" s="14">
        <v>9.5</v>
      </c>
      <c r="O10" s="17">
        <f>ROUND(IF(OR(G10=0,L10=0,M10=0,N10=0),0, G10*0.5+L10*0.1+M10*0.2+N10*0.2), 1)</f>
        <v>9.3000000000000007</v>
      </c>
    </row>
    <row r="11" spans="1:15" ht="15" customHeight="1" x14ac:dyDescent="0.25">
      <c r="A11" s="12">
        <v>205</v>
      </c>
      <c r="B11" s="12" t="s">
        <v>373</v>
      </c>
      <c r="C11" s="12" t="s">
        <v>431</v>
      </c>
      <c r="D11" s="13" t="s">
        <v>432</v>
      </c>
      <c r="E11" s="14">
        <v>10</v>
      </c>
      <c r="F11" s="14">
        <v>8.5</v>
      </c>
      <c r="G11" s="15">
        <f>IF(OR(E11=0,F11=0),0,E11*0.5+F11*0.5)</f>
        <v>9.25</v>
      </c>
      <c r="H11" s="16">
        <v>39395</v>
      </c>
      <c r="I11" s="12" t="s">
        <v>28</v>
      </c>
      <c r="J11" s="12" t="s">
        <v>375</v>
      </c>
      <c r="K11" s="12" t="s">
        <v>20</v>
      </c>
      <c r="L11" s="14">
        <v>9.5</v>
      </c>
      <c r="M11" s="14">
        <v>8.5</v>
      </c>
      <c r="N11" s="14">
        <v>10</v>
      </c>
      <c r="O11" s="17">
        <f>ROUND(IF(OR(G11=0,L11=0,M11=0,N11=0),0, G11*0.5+L11*0.1+M11*0.2+N11*0.2), 1)</f>
        <v>9.3000000000000007</v>
      </c>
    </row>
    <row r="12" spans="1:15" ht="15" customHeight="1" x14ac:dyDescent="0.25">
      <c r="A12" s="12">
        <v>103</v>
      </c>
      <c r="B12" s="12" t="s">
        <v>163</v>
      </c>
      <c r="C12" s="12" t="s">
        <v>230</v>
      </c>
      <c r="D12" s="13" t="s">
        <v>231</v>
      </c>
      <c r="E12" s="14">
        <v>9</v>
      </c>
      <c r="F12" s="14">
        <v>9.3000000000000007</v>
      </c>
      <c r="G12" s="15">
        <f>IF(OR(E12=0,F12=0),0,E12*0.5+F12*0.5)</f>
        <v>9.15</v>
      </c>
      <c r="H12" s="16">
        <v>39138</v>
      </c>
      <c r="I12" s="12" t="s">
        <v>23</v>
      </c>
      <c r="J12" s="12" t="s">
        <v>166</v>
      </c>
      <c r="K12" s="12" t="s">
        <v>20</v>
      </c>
      <c r="L12" s="14">
        <v>10</v>
      </c>
      <c r="M12" s="14">
        <v>8.5</v>
      </c>
      <c r="N12" s="14">
        <v>9.5</v>
      </c>
      <c r="O12" s="17">
        <f>ROUND(IF(OR(G12=0,L12=0,M12=0,N12=0),0, G12*0.5+L12*0.1+M12*0.2+N12*0.2), 1)</f>
        <v>9.1999999999999993</v>
      </c>
    </row>
    <row r="13" spans="1:15" ht="15" customHeight="1" x14ac:dyDescent="0.25">
      <c r="A13" s="12">
        <v>186</v>
      </c>
      <c r="B13" s="12" t="s">
        <v>373</v>
      </c>
      <c r="C13" s="12" t="s">
        <v>394</v>
      </c>
      <c r="D13" s="13" t="s">
        <v>395</v>
      </c>
      <c r="E13" s="14">
        <v>9.5</v>
      </c>
      <c r="F13" s="14">
        <v>8.5</v>
      </c>
      <c r="G13" s="15">
        <f>IF(OR(E13=0,F13=0),0,E13*0.5+F13*0.5)</f>
        <v>9</v>
      </c>
      <c r="H13" s="16">
        <v>39374</v>
      </c>
      <c r="I13" s="12" t="s">
        <v>18</v>
      </c>
      <c r="J13" s="12" t="s">
        <v>375</v>
      </c>
      <c r="K13" s="12" t="s">
        <v>20</v>
      </c>
      <c r="L13" s="14">
        <v>9.5</v>
      </c>
      <c r="M13" s="14">
        <v>8.5</v>
      </c>
      <c r="N13" s="14">
        <v>10</v>
      </c>
      <c r="O13" s="17">
        <f>ROUND(IF(OR(G13=0,L13=0,M13=0,N13=0),0, G13*0.5+L13*0.1+M13*0.2+N13*0.2), 1)</f>
        <v>9.1999999999999993</v>
      </c>
    </row>
    <row r="14" spans="1:15" ht="15" customHeight="1" x14ac:dyDescent="0.25">
      <c r="A14" s="12">
        <v>154</v>
      </c>
      <c r="B14" s="12" t="s">
        <v>306</v>
      </c>
      <c r="C14" s="12" t="s">
        <v>335</v>
      </c>
      <c r="D14" s="13" t="s">
        <v>336</v>
      </c>
      <c r="E14" s="14">
        <v>9</v>
      </c>
      <c r="F14" s="14">
        <v>9.5</v>
      </c>
      <c r="G14" s="15">
        <f>IF(OR(E14=0,F14=0),0,E14*0.5+F14*0.5)</f>
        <v>9.25</v>
      </c>
      <c r="H14" s="16">
        <v>39407</v>
      </c>
      <c r="I14" s="12" t="s">
        <v>18</v>
      </c>
      <c r="J14" s="12" t="s">
        <v>309</v>
      </c>
      <c r="K14" s="12" t="s">
        <v>20</v>
      </c>
      <c r="L14" s="14">
        <v>10</v>
      </c>
      <c r="M14" s="14">
        <v>8.5</v>
      </c>
      <c r="N14" s="14">
        <v>9</v>
      </c>
      <c r="O14" s="17">
        <f>ROUND(IF(OR(G14=0,L14=0,M14=0,N14=0),0, G14*0.5+L14*0.1+M14*0.2+N14*0.2), 1)</f>
        <v>9.1</v>
      </c>
    </row>
    <row r="15" spans="1:15" ht="15" customHeight="1" x14ac:dyDescent="0.25">
      <c r="A15" s="12">
        <v>207</v>
      </c>
      <c r="B15" s="12" t="s">
        <v>373</v>
      </c>
      <c r="C15" s="12" t="s">
        <v>435</v>
      </c>
      <c r="D15" s="13" t="s">
        <v>436</v>
      </c>
      <c r="E15" s="14">
        <v>9.5</v>
      </c>
      <c r="F15" s="14">
        <v>8.5</v>
      </c>
      <c r="G15" s="15">
        <f>IF(OR(E15=0,F15=0),0,E15*0.5+F15*0.5)</f>
        <v>9</v>
      </c>
      <c r="H15" s="16">
        <v>39312</v>
      </c>
      <c r="I15" s="12" t="s">
        <v>49</v>
      </c>
      <c r="J15" s="12" t="s">
        <v>375</v>
      </c>
      <c r="K15" s="12" t="s">
        <v>20</v>
      </c>
      <c r="L15" s="14">
        <v>9</v>
      </c>
      <c r="M15" s="14">
        <v>8</v>
      </c>
      <c r="N15" s="14">
        <v>10</v>
      </c>
      <c r="O15" s="17">
        <f>ROUND(IF(OR(G15=0,L15=0,M15=0,N15=0),0, G15*0.5+L15*0.1+M15*0.2+N15*0.2), 1)</f>
        <v>9</v>
      </c>
    </row>
    <row r="16" spans="1:15" ht="15" customHeight="1" x14ac:dyDescent="0.25">
      <c r="A16" s="12">
        <v>224</v>
      </c>
      <c r="B16" s="12" t="s">
        <v>437</v>
      </c>
      <c r="C16" s="12" t="s">
        <v>470</v>
      </c>
      <c r="D16" s="13" t="s">
        <v>471</v>
      </c>
      <c r="E16" s="14">
        <v>9</v>
      </c>
      <c r="F16" s="14">
        <v>9.5</v>
      </c>
      <c r="G16" s="15">
        <f>IF(OR(E16=0,F16=0),0,E16*0.5+F16*0.5)</f>
        <v>9.25</v>
      </c>
      <c r="H16" s="16">
        <v>39158</v>
      </c>
      <c r="I16" s="12" t="s">
        <v>70</v>
      </c>
      <c r="J16" s="12" t="s">
        <v>96</v>
      </c>
      <c r="K16" s="12" t="s">
        <v>20</v>
      </c>
      <c r="L16" s="14">
        <v>10</v>
      </c>
      <c r="M16" s="14">
        <v>8</v>
      </c>
      <c r="N16" s="14">
        <v>8.6999999999999993</v>
      </c>
      <c r="O16" s="17">
        <f>ROUND(IF(OR(G16=0,L16=0,M16=0,N16=0),0, G16*0.5+L16*0.1+M16*0.2+N16*0.2), 1)</f>
        <v>9</v>
      </c>
    </row>
    <row r="17" spans="1:15" ht="15" customHeight="1" x14ac:dyDescent="0.25">
      <c r="A17" s="12">
        <v>1</v>
      </c>
      <c r="B17" s="12" t="s">
        <v>15</v>
      </c>
      <c r="C17" s="12" t="s">
        <v>16</v>
      </c>
      <c r="D17" s="13" t="s">
        <v>17</v>
      </c>
      <c r="E17" s="14">
        <v>10</v>
      </c>
      <c r="F17" s="14">
        <v>8.5</v>
      </c>
      <c r="G17" s="15">
        <f>IF(OR(E17=0,F17=0),0,E17*0.5+F17*0.5)</f>
        <v>9.25</v>
      </c>
      <c r="H17" s="16">
        <v>39183</v>
      </c>
      <c r="I17" s="12" t="s">
        <v>18</v>
      </c>
      <c r="J17" s="12" t="s">
        <v>19</v>
      </c>
      <c r="K17" s="12" t="s">
        <v>20</v>
      </c>
      <c r="L17" s="14">
        <v>9.5</v>
      </c>
      <c r="M17" s="14">
        <v>8.5</v>
      </c>
      <c r="N17" s="14">
        <v>8.1999999999999993</v>
      </c>
      <c r="O17" s="17">
        <f>ROUND(IF(OR(G17=0,L17=0,M17=0,N17=0),0, G17*0.5+L17*0.1+M17*0.2+N17*0.2), 1)</f>
        <v>8.9</v>
      </c>
    </row>
    <row r="18" spans="1:15" ht="15" customHeight="1" x14ac:dyDescent="0.25">
      <c r="A18" s="12">
        <v>183</v>
      </c>
      <c r="B18" s="12" t="s">
        <v>373</v>
      </c>
      <c r="C18" s="12" t="s">
        <v>388</v>
      </c>
      <c r="D18" s="13" t="s">
        <v>389</v>
      </c>
      <c r="E18" s="14">
        <v>8</v>
      </c>
      <c r="F18" s="14">
        <v>9.5</v>
      </c>
      <c r="G18" s="15">
        <f>IF(OR(E18=0,F18=0),0,E18*0.5+F18*0.5)</f>
        <v>8.75</v>
      </c>
      <c r="H18" s="16">
        <v>39107</v>
      </c>
      <c r="I18" s="12" t="s">
        <v>23</v>
      </c>
      <c r="J18" s="12" t="s">
        <v>375</v>
      </c>
      <c r="K18" s="12" t="s">
        <v>20</v>
      </c>
      <c r="L18" s="14">
        <v>10</v>
      </c>
      <c r="M18" s="14">
        <v>7.5</v>
      </c>
      <c r="N18" s="14">
        <v>10</v>
      </c>
      <c r="O18" s="17">
        <f>ROUND(IF(OR(G18=0,L18=0,M18=0,N18=0),0, G18*0.5+L18*0.1+M18*0.2+N18*0.2), 1)</f>
        <v>8.9</v>
      </c>
    </row>
    <row r="19" spans="1:15" ht="15" customHeight="1" x14ac:dyDescent="0.25">
      <c r="A19" s="12">
        <v>93</v>
      </c>
      <c r="B19" s="12" t="s">
        <v>163</v>
      </c>
      <c r="C19" s="12" t="s">
        <v>210</v>
      </c>
      <c r="D19" s="13" t="s">
        <v>211</v>
      </c>
      <c r="E19" s="14">
        <v>9</v>
      </c>
      <c r="F19" s="14">
        <v>8.5</v>
      </c>
      <c r="G19" s="15">
        <f>IF(OR(E19=0,F19=0),0,E19*0.5+F19*0.5)</f>
        <v>8.75</v>
      </c>
      <c r="H19" s="16">
        <v>39104</v>
      </c>
      <c r="I19" s="12" t="s">
        <v>45</v>
      </c>
      <c r="J19" s="12" t="s">
        <v>166</v>
      </c>
      <c r="K19" s="12" t="s">
        <v>20</v>
      </c>
      <c r="L19" s="14">
        <v>9</v>
      </c>
      <c r="M19" s="14">
        <v>8</v>
      </c>
      <c r="N19" s="14">
        <v>10</v>
      </c>
      <c r="O19" s="17">
        <f>ROUND(IF(OR(G19=0,L19=0,M19=0,N19=0),0, G19*0.5+L19*0.1+M19*0.2+N19*0.2), 1)</f>
        <v>8.9</v>
      </c>
    </row>
    <row r="20" spans="1:15" ht="15" customHeight="1" x14ac:dyDescent="0.25">
      <c r="A20" s="12">
        <v>190</v>
      </c>
      <c r="B20" s="12" t="s">
        <v>373</v>
      </c>
      <c r="C20" s="12" t="s">
        <v>402</v>
      </c>
      <c r="D20" s="13" t="s">
        <v>403</v>
      </c>
      <c r="E20" s="14">
        <v>9</v>
      </c>
      <c r="F20" s="14">
        <v>10</v>
      </c>
      <c r="G20" s="15">
        <f>IF(OR(E20=0,F20=0),0,E20*0.5+F20*0.5)</f>
        <v>9.5</v>
      </c>
      <c r="H20" s="16">
        <v>39318</v>
      </c>
      <c r="I20" s="12" t="s">
        <v>49</v>
      </c>
      <c r="J20" s="12" t="s">
        <v>375</v>
      </c>
      <c r="K20" s="12" t="s">
        <v>20</v>
      </c>
      <c r="L20" s="14">
        <v>5.5</v>
      </c>
      <c r="M20" s="14">
        <v>8</v>
      </c>
      <c r="N20" s="14">
        <v>10</v>
      </c>
      <c r="O20" s="17">
        <f>ROUND(IF(OR(G20=0,L20=0,M20=0,N20=0),0, G20*0.5+L20*0.1+M20*0.2+N20*0.2), 1)</f>
        <v>8.9</v>
      </c>
    </row>
    <row r="21" spans="1:15" ht="15" customHeight="1" x14ac:dyDescent="0.25">
      <c r="A21" s="12">
        <v>76</v>
      </c>
      <c r="B21" s="12" t="s">
        <v>163</v>
      </c>
      <c r="C21" s="12" t="s">
        <v>177</v>
      </c>
      <c r="D21" s="13" t="s">
        <v>178</v>
      </c>
      <c r="E21" s="14">
        <v>9.5</v>
      </c>
      <c r="F21" s="14">
        <v>8</v>
      </c>
      <c r="G21" s="15">
        <f>IF(OR(E21=0,F21=0),0,E21*0.5+F21*0.5)</f>
        <v>8.75</v>
      </c>
      <c r="H21" s="16">
        <v>39253</v>
      </c>
      <c r="I21" s="12" t="s">
        <v>70</v>
      </c>
      <c r="J21" s="12" t="s">
        <v>166</v>
      </c>
      <c r="K21" s="12" t="s">
        <v>20</v>
      </c>
      <c r="L21" s="14">
        <v>10</v>
      </c>
      <c r="M21" s="14">
        <v>8</v>
      </c>
      <c r="N21" s="14">
        <v>9.5</v>
      </c>
      <c r="O21" s="17">
        <f>ROUND(IF(OR(G21=0,L21=0,M21=0,N21=0),0, G21*0.5+L21*0.1+M21*0.2+N21*0.2), 1)</f>
        <v>8.9</v>
      </c>
    </row>
    <row r="22" spans="1:15" ht="15" customHeight="1" x14ac:dyDescent="0.25">
      <c r="A22" s="12">
        <v>52</v>
      </c>
      <c r="B22" s="12" t="s">
        <v>93</v>
      </c>
      <c r="C22" s="12" t="s">
        <v>127</v>
      </c>
      <c r="D22" s="13" t="s">
        <v>128</v>
      </c>
      <c r="E22" s="14">
        <v>8.5</v>
      </c>
      <c r="F22" s="14">
        <v>8.5</v>
      </c>
      <c r="G22" s="15">
        <f>IF(OR(E22=0,F22=0),0,E22*0.5+F22*0.5)</f>
        <v>8.5</v>
      </c>
      <c r="H22" s="16">
        <v>39195</v>
      </c>
      <c r="I22" s="12" t="s">
        <v>23</v>
      </c>
      <c r="J22" s="12" t="s">
        <v>96</v>
      </c>
      <c r="K22" s="12" t="s">
        <v>20</v>
      </c>
      <c r="L22" s="14">
        <v>10</v>
      </c>
      <c r="M22" s="14">
        <v>8.5</v>
      </c>
      <c r="N22" s="14">
        <v>8.6</v>
      </c>
      <c r="O22" s="17">
        <f>ROUND(IF(OR(G22=0,L22=0,M22=0,N22=0),0, G22*0.5+L22*0.1+M22*0.2+N22*0.2), 1)</f>
        <v>8.6999999999999993</v>
      </c>
    </row>
    <row r="23" spans="1:15" s="31" customFormat="1" ht="15" customHeight="1" x14ac:dyDescent="0.25">
      <c r="A23" s="12">
        <v>189</v>
      </c>
      <c r="B23" s="12" t="s">
        <v>373</v>
      </c>
      <c r="C23" s="12" t="s">
        <v>400</v>
      </c>
      <c r="D23" s="13" t="s">
        <v>401</v>
      </c>
      <c r="E23" s="14">
        <v>8.5</v>
      </c>
      <c r="F23" s="14">
        <v>7.5</v>
      </c>
      <c r="G23" s="15">
        <f>IF(OR(E23=0,F23=0),0,E23*0.5+F23*0.5)</f>
        <v>8</v>
      </c>
      <c r="H23" s="16">
        <v>39199</v>
      </c>
      <c r="I23" s="12" t="s">
        <v>49</v>
      </c>
      <c r="J23" s="12" t="s">
        <v>375</v>
      </c>
      <c r="K23" s="12" t="s">
        <v>20</v>
      </c>
      <c r="L23" s="14">
        <v>10</v>
      </c>
      <c r="M23" s="14">
        <v>8.5</v>
      </c>
      <c r="N23" s="14">
        <v>10</v>
      </c>
      <c r="O23" s="17">
        <f>ROUND(IF(OR(G23=0,L23=0,M23=0,N23=0),0, G23*0.5+L23*0.1+M23*0.2+N23*0.2), 1)</f>
        <v>8.6999999999999993</v>
      </c>
    </row>
    <row r="24" spans="1:15" s="31" customFormat="1" ht="15" customHeight="1" x14ac:dyDescent="0.25">
      <c r="A24" s="12">
        <v>213</v>
      </c>
      <c r="B24" s="12" t="s">
        <v>437</v>
      </c>
      <c r="C24" s="12" t="s">
        <v>448</v>
      </c>
      <c r="D24" s="13" t="s">
        <v>449</v>
      </c>
      <c r="E24" s="14">
        <v>7.5</v>
      </c>
      <c r="F24" s="14">
        <v>8.5</v>
      </c>
      <c r="G24" s="15">
        <f>IF(OR(E24=0,F24=0),0,E24*0.5+F24*0.5)</f>
        <v>8</v>
      </c>
      <c r="H24" s="16">
        <v>39152</v>
      </c>
      <c r="I24" s="12" t="s">
        <v>70</v>
      </c>
      <c r="J24" s="12" t="s">
        <v>96</v>
      </c>
      <c r="K24" s="12" t="s">
        <v>20</v>
      </c>
      <c r="L24" s="14">
        <v>10</v>
      </c>
      <c r="M24" s="14">
        <v>9</v>
      </c>
      <c r="N24" s="14">
        <v>9.5</v>
      </c>
      <c r="O24" s="17">
        <f>ROUND(IF(OR(G24=0,L24=0,M24=0,N24=0),0, G24*0.5+L24*0.1+M24*0.2+N24*0.2), 1)</f>
        <v>8.6999999999999993</v>
      </c>
    </row>
    <row r="25" spans="1:15" s="31" customFormat="1" ht="15" customHeight="1" x14ac:dyDescent="0.25">
      <c r="A25" s="12">
        <v>226</v>
      </c>
      <c r="B25" s="12" t="s">
        <v>437</v>
      </c>
      <c r="C25" s="12" t="s">
        <v>474</v>
      </c>
      <c r="D25" s="13" t="s">
        <v>475</v>
      </c>
      <c r="E25" s="14">
        <v>9</v>
      </c>
      <c r="F25" s="14">
        <v>7.5</v>
      </c>
      <c r="G25" s="15">
        <f>IF(OR(E25=0,F25=0),0,E25*0.5+F25*0.5)</f>
        <v>8.25</v>
      </c>
      <c r="H25" s="16">
        <v>39397</v>
      </c>
      <c r="I25" s="12" t="s">
        <v>23</v>
      </c>
      <c r="J25" s="12" t="s">
        <v>166</v>
      </c>
      <c r="K25" s="12" t="s">
        <v>20</v>
      </c>
      <c r="L25" s="14">
        <v>10</v>
      </c>
      <c r="M25" s="14">
        <v>8.5</v>
      </c>
      <c r="N25" s="14">
        <v>9.5</v>
      </c>
      <c r="O25" s="17">
        <f>ROUND(IF(OR(G25=0,L25=0,M25=0,N25=0),0, G25*0.5+L25*0.1+M25*0.2+N25*0.2), 1)</f>
        <v>8.6999999999999993</v>
      </c>
    </row>
    <row r="26" spans="1:15" s="31" customFormat="1" ht="15" customHeight="1" x14ac:dyDescent="0.25">
      <c r="A26" s="12">
        <v>141</v>
      </c>
      <c r="B26" s="12" t="s">
        <v>306</v>
      </c>
      <c r="C26" s="12" t="s">
        <v>307</v>
      </c>
      <c r="D26" s="13" t="s">
        <v>308</v>
      </c>
      <c r="E26" s="14">
        <v>7</v>
      </c>
      <c r="F26" s="14">
        <v>9.5</v>
      </c>
      <c r="G26" s="15">
        <f>IF(OR(E26=0,F26=0),0,E26*0.5+F26*0.5)</f>
        <v>8.25</v>
      </c>
      <c r="H26" s="16">
        <v>39412</v>
      </c>
      <c r="I26" s="12" t="s">
        <v>18</v>
      </c>
      <c r="J26" s="12" t="s">
        <v>309</v>
      </c>
      <c r="K26" s="12" t="s">
        <v>20</v>
      </c>
      <c r="L26" s="14">
        <v>9.5</v>
      </c>
      <c r="M26" s="14">
        <v>8.5</v>
      </c>
      <c r="N26" s="14">
        <v>9.5</v>
      </c>
      <c r="O26" s="17">
        <f>ROUND(IF(OR(G26=0,L26=0,M26=0,N26=0),0, G26*0.5+L26*0.1+M26*0.2+N26*0.2), 1)</f>
        <v>8.6999999999999993</v>
      </c>
    </row>
    <row r="27" spans="1:15" s="31" customFormat="1" ht="15" customHeight="1" x14ac:dyDescent="0.25">
      <c r="A27" s="12">
        <v>266</v>
      </c>
      <c r="B27" s="12" t="s">
        <v>498</v>
      </c>
      <c r="C27" s="12" t="s">
        <v>554</v>
      </c>
      <c r="D27" s="13" t="s">
        <v>555</v>
      </c>
      <c r="E27" s="14">
        <v>9</v>
      </c>
      <c r="F27" s="14">
        <v>6.5</v>
      </c>
      <c r="G27" s="15">
        <f>IF(OR(E27=0,F27=0),0,E27*0.5+F27*0.5)</f>
        <v>7.75</v>
      </c>
      <c r="H27" s="16">
        <v>39103</v>
      </c>
      <c r="I27" s="12" t="s">
        <v>18</v>
      </c>
      <c r="J27" s="12" t="s">
        <v>375</v>
      </c>
      <c r="K27" s="12" t="s">
        <v>20</v>
      </c>
      <c r="L27" s="14">
        <v>10</v>
      </c>
      <c r="M27" s="14">
        <v>9</v>
      </c>
      <c r="N27" s="14">
        <v>10</v>
      </c>
      <c r="O27" s="17">
        <f>ROUND(IF(OR(G27=0,L27=0,M27=0,N27=0),0, G27*0.5+L27*0.1+M27*0.2+N27*0.2), 1)</f>
        <v>8.6999999999999993</v>
      </c>
    </row>
    <row r="28" spans="1:15" ht="15" customHeight="1" x14ac:dyDescent="0.25">
      <c r="A28" s="12">
        <v>92</v>
      </c>
      <c r="B28" s="12" t="s">
        <v>163</v>
      </c>
      <c r="C28" s="12" t="s">
        <v>208</v>
      </c>
      <c r="D28" s="13" t="s">
        <v>209</v>
      </c>
      <c r="E28" s="14">
        <v>8.5</v>
      </c>
      <c r="F28" s="14">
        <v>7.5</v>
      </c>
      <c r="G28" s="15">
        <f>IF(OR(E28=0,F28=0),0,E28*0.5+F28*0.5)</f>
        <v>8</v>
      </c>
      <c r="H28" s="16">
        <v>39388</v>
      </c>
      <c r="I28" s="12" t="s">
        <v>70</v>
      </c>
      <c r="J28" s="12" t="s">
        <v>166</v>
      </c>
      <c r="K28" s="12" t="s">
        <v>20</v>
      </c>
      <c r="L28" s="14">
        <v>10</v>
      </c>
      <c r="M28" s="14">
        <v>9.5</v>
      </c>
      <c r="N28" s="14">
        <v>9</v>
      </c>
      <c r="O28" s="17">
        <f>ROUND(IF(OR(G28=0,L28=0,M28=0,N28=0),0, G28*0.5+L28*0.1+M28*0.2+N28*0.2), 1)</f>
        <v>8.6999999999999993</v>
      </c>
    </row>
    <row r="29" spans="1:15" ht="15" customHeight="1" x14ac:dyDescent="0.25">
      <c r="A29" s="12">
        <v>21</v>
      </c>
      <c r="B29" s="12" t="s">
        <v>15</v>
      </c>
      <c r="C29" s="12" t="s">
        <v>62</v>
      </c>
      <c r="D29" s="13" t="s">
        <v>63</v>
      </c>
      <c r="E29" s="14">
        <v>8</v>
      </c>
      <c r="F29" s="14">
        <v>8.8000000000000007</v>
      </c>
      <c r="G29" s="15">
        <f>IF(OR(E29=0,F29=0),0,E29*0.5+F29*0.5)</f>
        <v>8.4</v>
      </c>
      <c r="H29" s="16">
        <v>39364</v>
      </c>
      <c r="I29" s="12" t="s">
        <v>45</v>
      </c>
      <c r="J29" s="12" t="s">
        <v>19</v>
      </c>
      <c r="K29" s="12" t="s">
        <v>20</v>
      </c>
      <c r="L29" s="14">
        <v>10</v>
      </c>
      <c r="M29" s="14">
        <v>8.5</v>
      </c>
      <c r="N29" s="14">
        <v>8.6999999999999993</v>
      </c>
      <c r="O29" s="17">
        <f>ROUND(IF(OR(G29=0,L29=0,M29=0,N29=0),0, G29*0.5+L29*0.1+M29*0.2+N29*0.2), 1)</f>
        <v>8.6</v>
      </c>
    </row>
    <row r="30" spans="1:15" ht="15" customHeight="1" x14ac:dyDescent="0.25">
      <c r="A30" s="12">
        <v>187</v>
      </c>
      <c r="B30" s="12" t="s">
        <v>373</v>
      </c>
      <c r="C30" s="12" t="s">
        <v>396</v>
      </c>
      <c r="D30" s="13" t="s">
        <v>397</v>
      </c>
      <c r="E30" s="14">
        <v>8</v>
      </c>
      <c r="F30" s="14">
        <v>8</v>
      </c>
      <c r="G30" s="15">
        <f>IF(OR(E30=0,F30=0),0,E30*0.5+F30*0.5)</f>
        <v>8</v>
      </c>
      <c r="H30" s="16">
        <v>39274</v>
      </c>
      <c r="I30" s="12" t="s">
        <v>70</v>
      </c>
      <c r="J30" s="12" t="s">
        <v>375</v>
      </c>
      <c r="K30" s="12" t="s">
        <v>20</v>
      </c>
      <c r="L30" s="14">
        <v>9.5</v>
      </c>
      <c r="M30" s="14">
        <v>8</v>
      </c>
      <c r="N30" s="14">
        <v>10</v>
      </c>
      <c r="O30" s="17">
        <f>ROUND(IF(OR(G30=0,L30=0,M30=0,N30=0),0, G30*0.5+L30*0.1+M30*0.2+N30*0.2), 1)</f>
        <v>8.6</v>
      </c>
    </row>
    <row r="31" spans="1:15" ht="15" customHeight="1" x14ac:dyDescent="0.25">
      <c r="A31" s="12">
        <v>81</v>
      </c>
      <c r="B31" s="12" t="s">
        <v>163</v>
      </c>
      <c r="C31" s="12" t="s">
        <v>186</v>
      </c>
      <c r="D31" s="13" t="s">
        <v>187</v>
      </c>
      <c r="E31" s="14">
        <v>8.5</v>
      </c>
      <c r="F31" s="14">
        <v>8</v>
      </c>
      <c r="G31" s="15">
        <f>IF(OR(E31=0,F31=0),0,E31*0.5+F31*0.5)</f>
        <v>8.25</v>
      </c>
      <c r="H31" s="16">
        <v>39096</v>
      </c>
      <c r="I31" s="12" t="s">
        <v>18</v>
      </c>
      <c r="J31" s="12" t="s">
        <v>166</v>
      </c>
      <c r="K31" s="12" t="s">
        <v>20</v>
      </c>
      <c r="L31" s="14">
        <v>10</v>
      </c>
      <c r="M31" s="14">
        <v>8.5</v>
      </c>
      <c r="N31" s="14">
        <v>9</v>
      </c>
      <c r="O31" s="17">
        <f>ROUND(IF(OR(G31=0,L31=0,M31=0,N31=0),0, G31*0.5+L31*0.1+M31*0.2+N31*0.2), 1)</f>
        <v>8.6</v>
      </c>
    </row>
    <row r="32" spans="1:15" ht="15" customHeight="1" x14ac:dyDescent="0.25">
      <c r="A32" s="12">
        <v>77</v>
      </c>
      <c r="B32" s="12" t="s">
        <v>163</v>
      </c>
      <c r="C32" s="12" t="s">
        <v>179</v>
      </c>
      <c r="D32" s="13" t="s">
        <v>180</v>
      </c>
      <c r="E32" s="14">
        <v>7.5</v>
      </c>
      <c r="F32" s="14">
        <v>9.5</v>
      </c>
      <c r="G32" s="15">
        <f>IF(OR(E32=0,F32=0),0,E32*0.5+F32*0.5)</f>
        <v>8.5</v>
      </c>
      <c r="H32" s="16">
        <v>39434</v>
      </c>
      <c r="I32" s="12" t="s">
        <v>45</v>
      </c>
      <c r="J32" s="12" t="s">
        <v>166</v>
      </c>
      <c r="K32" s="12" t="s">
        <v>20</v>
      </c>
      <c r="L32" s="14">
        <v>10</v>
      </c>
      <c r="M32" s="14">
        <v>9</v>
      </c>
      <c r="N32" s="14">
        <v>7.7</v>
      </c>
      <c r="O32" s="17">
        <f>ROUND(IF(OR(G32=0,L32=0,M32=0,N32=0),0, G32*0.5+L32*0.1+M32*0.2+N32*0.2), 1)</f>
        <v>8.6</v>
      </c>
    </row>
    <row r="33" spans="1:15" ht="15" customHeight="1" x14ac:dyDescent="0.25">
      <c r="A33" s="12">
        <v>166</v>
      </c>
      <c r="B33" s="12" t="s">
        <v>306</v>
      </c>
      <c r="C33" s="12" t="s">
        <v>359</v>
      </c>
      <c r="D33" s="13" t="s">
        <v>360</v>
      </c>
      <c r="E33" s="14">
        <v>8</v>
      </c>
      <c r="F33" s="14">
        <v>9.5</v>
      </c>
      <c r="G33" s="15">
        <f>IF(OR(E33=0,F33=0),0,E33*0.5+F33*0.5)</f>
        <v>8.75</v>
      </c>
      <c r="H33" s="16">
        <v>39410</v>
      </c>
      <c r="I33" s="12" t="s">
        <v>18</v>
      </c>
      <c r="J33" s="12" t="s">
        <v>309</v>
      </c>
      <c r="K33" s="12" t="s">
        <v>20</v>
      </c>
      <c r="L33" s="14">
        <v>9.5</v>
      </c>
      <c r="M33" s="14">
        <v>8</v>
      </c>
      <c r="N33" s="14">
        <v>8.4</v>
      </c>
      <c r="O33" s="17">
        <f>ROUND(IF(OR(G33=0,L33=0,M33=0,N33=0),0, G33*0.5+L33*0.1+M33*0.2+N33*0.2), 1)</f>
        <v>8.6</v>
      </c>
    </row>
    <row r="34" spans="1:15" ht="15" customHeight="1" x14ac:dyDescent="0.25">
      <c r="A34" s="12">
        <v>271</v>
      </c>
      <c r="B34" s="12" t="s">
        <v>498</v>
      </c>
      <c r="C34" s="12" t="s">
        <v>564</v>
      </c>
      <c r="D34" s="13" t="s">
        <v>565</v>
      </c>
      <c r="E34" s="14">
        <v>10</v>
      </c>
      <c r="F34" s="14">
        <v>6.5</v>
      </c>
      <c r="G34" s="15">
        <f>IF(OR(E34=0,F34=0),0,E34*0.5+F34*0.5)</f>
        <v>8.25</v>
      </c>
      <c r="H34" s="16">
        <v>39175</v>
      </c>
      <c r="I34" s="12" t="s">
        <v>28</v>
      </c>
      <c r="J34" s="12" t="s">
        <v>239</v>
      </c>
      <c r="K34" s="12" t="s">
        <v>20</v>
      </c>
      <c r="L34" s="14">
        <v>10</v>
      </c>
      <c r="M34" s="14">
        <v>7.5</v>
      </c>
      <c r="N34" s="14">
        <v>10</v>
      </c>
      <c r="O34" s="17">
        <f>ROUND(IF(OR(G34=0,L34=0,M34=0,N34=0),0, G34*0.5+L34*0.1+M34*0.2+N34*0.2), 1)</f>
        <v>8.6</v>
      </c>
    </row>
    <row r="35" spans="1:15" ht="15" customHeight="1" x14ac:dyDescent="0.25">
      <c r="A35" s="12">
        <v>211</v>
      </c>
      <c r="B35" s="12" t="s">
        <v>437</v>
      </c>
      <c r="C35" s="12" t="s">
        <v>444</v>
      </c>
      <c r="D35" s="13" t="s">
        <v>445</v>
      </c>
      <c r="E35" s="14">
        <v>9</v>
      </c>
      <c r="F35" s="14">
        <v>7.5</v>
      </c>
      <c r="G35" s="15">
        <f>IF(OR(E35=0,F35=0),0,E35*0.5+F35*0.5)</f>
        <v>8.25</v>
      </c>
      <c r="H35" s="16">
        <v>39327</v>
      </c>
      <c r="I35" s="12" t="s">
        <v>18</v>
      </c>
      <c r="J35" s="12" t="s">
        <v>166</v>
      </c>
      <c r="K35" s="12" t="s">
        <v>20</v>
      </c>
      <c r="L35" s="14">
        <v>10</v>
      </c>
      <c r="M35" s="14">
        <v>8.5</v>
      </c>
      <c r="N35" s="14">
        <v>9</v>
      </c>
      <c r="O35" s="17">
        <f>ROUND(IF(OR(G35=0,L35=0,M35=0,N35=0),0, G35*0.5+L35*0.1+M35*0.2+N35*0.2), 1)</f>
        <v>8.6</v>
      </c>
    </row>
    <row r="36" spans="1:15" ht="15" customHeight="1" x14ac:dyDescent="0.25">
      <c r="A36" s="27">
        <v>85</v>
      </c>
      <c r="B36" s="27" t="s">
        <v>163</v>
      </c>
      <c r="C36" s="18" t="s">
        <v>194</v>
      </c>
      <c r="D36" s="19" t="s">
        <v>195</v>
      </c>
      <c r="E36" s="20">
        <v>9</v>
      </c>
      <c r="F36" s="20">
        <v>7.5</v>
      </c>
      <c r="G36" s="21">
        <f>IF(OR(E36=0,F36=0),0,E36*0.5+F36*0.5)</f>
        <v>8.25</v>
      </c>
      <c r="H36" s="22">
        <v>39050</v>
      </c>
      <c r="I36" s="18" t="s">
        <v>70</v>
      </c>
      <c r="J36" s="18" t="s">
        <v>96</v>
      </c>
      <c r="K36" s="18" t="s">
        <v>20</v>
      </c>
      <c r="L36" s="29">
        <v>10</v>
      </c>
      <c r="M36" s="29">
        <v>8</v>
      </c>
      <c r="N36" s="29">
        <v>9</v>
      </c>
      <c r="O36" s="17">
        <f>ROUND(IF(OR(G36=0,L36=0,M36=0,N36=0),0, G36*0.5+L36*0.1+M36*0.2+N36*0.2), 1)</f>
        <v>8.5</v>
      </c>
    </row>
    <row r="37" spans="1:15" ht="15" customHeight="1" x14ac:dyDescent="0.25">
      <c r="A37" s="12">
        <v>131</v>
      </c>
      <c r="B37" s="12" t="s">
        <v>236</v>
      </c>
      <c r="C37" s="12" t="s">
        <v>287</v>
      </c>
      <c r="D37" s="13" t="s">
        <v>288</v>
      </c>
      <c r="E37" s="14">
        <v>6.5</v>
      </c>
      <c r="F37" s="14">
        <v>8.3000000000000007</v>
      </c>
      <c r="G37" s="15">
        <f>IF(OR(E37=0,F37=0),0,E37*0.5+F37*0.5)</f>
        <v>7.4</v>
      </c>
      <c r="H37" s="16">
        <v>39132</v>
      </c>
      <c r="I37" s="12" t="s">
        <v>28</v>
      </c>
      <c r="J37" s="12" t="s">
        <v>239</v>
      </c>
      <c r="K37" s="12" t="s">
        <v>20</v>
      </c>
      <c r="L37" s="14">
        <v>10</v>
      </c>
      <c r="M37" s="14">
        <v>9.5</v>
      </c>
      <c r="N37" s="14">
        <v>9.3000000000000007</v>
      </c>
      <c r="O37" s="17">
        <f>ROUND(IF(OR(G37=0,L37=0,M37=0,N37=0),0, G37*0.5+L37*0.1+M37*0.2+N37*0.2), 1)</f>
        <v>8.5</v>
      </c>
    </row>
    <row r="38" spans="1:15" ht="15" customHeight="1" x14ac:dyDescent="0.25">
      <c r="A38" s="12">
        <v>11</v>
      </c>
      <c r="B38" s="12" t="s">
        <v>15</v>
      </c>
      <c r="C38" s="12" t="s">
        <v>41</v>
      </c>
      <c r="D38" s="13" t="s">
        <v>42</v>
      </c>
      <c r="E38" s="14">
        <v>7.5</v>
      </c>
      <c r="F38" s="14">
        <v>8.8000000000000007</v>
      </c>
      <c r="G38" s="15">
        <f>IF(OR(E38=0,F38=0),0,E38*0.5+F38*0.5)</f>
        <v>8.15</v>
      </c>
      <c r="H38" s="16">
        <v>39290</v>
      </c>
      <c r="I38" s="12" t="s">
        <v>23</v>
      </c>
      <c r="J38" s="12" t="s">
        <v>19</v>
      </c>
      <c r="K38" s="12" t="s">
        <v>20</v>
      </c>
      <c r="L38" s="14">
        <v>10</v>
      </c>
      <c r="M38" s="14">
        <v>8.5</v>
      </c>
      <c r="N38" s="14">
        <v>8.6</v>
      </c>
      <c r="O38" s="17">
        <f>ROUND(IF(OR(G38=0,L38=0,M38=0,N38=0),0, G38*0.5+L38*0.1+M38*0.2+N38*0.2), 1)</f>
        <v>8.5</v>
      </c>
    </row>
    <row r="39" spans="1:15" ht="15" customHeight="1" x14ac:dyDescent="0.25">
      <c r="A39" s="12">
        <v>200</v>
      </c>
      <c r="B39" s="12" t="s">
        <v>373</v>
      </c>
      <c r="C39" s="12" t="s">
        <v>421</v>
      </c>
      <c r="D39" s="13" t="s">
        <v>422</v>
      </c>
      <c r="E39" s="14">
        <v>9</v>
      </c>
      <c r="F39" s="14">
        <v>6</v>
      </c>
      <c r="G39" s="15">
        <f>IF(OR(E39=0,F39=0),0,E39*0.5+F39*0.5)</f>
        <v>7.5</v>
      </c>
      <c r="H39" s="16">
        <v>39359</v>
      </c>
      <c r="I39" s="12" t="s">
        <v>70</v>
      </c>
      <c r="J39" s="12" t="s">
        <v>375</v>
      </c>
      <c r="K39" s="12" t="s">
        <v>20</v>
      </c>
      <c r="L39" s="14">
        <v>9</v>
      </c>
      <c r="M39" s="14">
        <v>9</v>
      </c>
      <c r="N39" s="14">
        <v>10</v>
      </c>
      <c r="O39" s="17">
        <f>ROUND(IF(OR(G39=0,L39=0,M39=0,N39=0),0, G39*0.5+L39*0.1+M39*0.2+N39*0.2), 1)</f>
        <v>8.5</v>
      </c>
    </row>
    <row r="40" spans="1:15" ht="15" customHeight="1" x14ac:dyDescent="0.25">
      <c r="A40" s="12">
        <v>244</v>
      </c>
      <c r="B40" s="12" t="s">
        <v>498</v>
      </c>
      <c r="C40" s="12" t="s">
        <v>510</v>
      </c>
      <c r="D40" s="13" t="s">
        <v>511</v>
      </c>
      <c r="E40" s="14">
        <v>8.5</v>
      </c>
      <c r="F40" s="14">
        <v>6.5</v>
      </c>
      <c r="G40" s="15">
        <f>IF(OR(E40=0,F40=0),0,E40*0.5+F40*0.5)</f>
        <v>7.5</v>
      </c>
      <c r="H40" s="16">
        <v>39427</v>
      </c>
      <c r="I40" s="12" t="s">
        <v>70</v>
      </c>
      <c r="J40" s="12" t="s">
        <v>239</v>
      </c>
      <c r="K40" s="12" t="s">
        <v>20</v>
      </c>
      <c r="L40" s="14">
        <v>10</v>
      </c>
      <c r="M40" s="14">
        <v>9.5</v>
      </c>
      <c r="N40" s="14">
        <v>9.4</v>
      </c>
      <c r="O40" s="17">
        <f>ROUND(IF(OR(G40=0,L40=0,M40=0,N40=0),0, G40*0.5+L40*0.1+M40*0.2+N40*0.2), 1)</f>
        <v>8.5</v>
      </c>
    </row>
    <row r="41" spans="1:15" ht="15" customHeight="1" x14ac:dyDescent="0.25">
      <c r="A41" s="12">
        <v>254</v>
      </c>
      <c r="B41" s="12" t="s">
        <v>498</v>
      </c>
      <c r="C41" s="12" t="s">
        <v>530</v>
      </c>
      <c r="D41" s="13" t="s">
        <v>531</v>
      </c>
      <c r="E41" s="14">
        <v>10</v>
      </c>
      <c r="F41" s="14">
        <v>6</v>
      </c>
      <c r="G41" s="15">
        <f>IF(OR(E41=0,F41=0),0,E41*0.5+F41*0.5)</f>
        <v>8</v>
      </c>
      <c r="H41" s="16">
        <v>39206</v>
      </c>
      <c r="I41" s="12" t="s">
        <v>23</v>
      </c>
      <c r="J41" s="12" t="s">
        <v>239</v>
      </c>
      <c r="K41" s="12" t="s">
        <v>20</v>
      </c>
      <c r="L41" s="14">
        <v>10</v>
      </c>
      <c r="M41" s="14">
        <v>8</v>
      </c>
      <c r="N41" s="14">
        <v>9.5</v>
      </c>
      <c r="O41" s="17">
        <f>ROUND(IF(OR(G41=0,L41=0,M41=0,N41=0),0, G41*0.5+L41*0.1+M41*0.2+N41*0.2), 1)</f>
        <v>8.5</v>
      </c>
    </row>
    <row r="42" spans="1:15" ht="15" customHeight="1" x14ac:dyDescent="0.25">
      <c r="A42" s="27">
        <v>60</v>
      </c>
      <c r="B42" s="27" t="s">
        <v>93</v>
      </c>
      <c r="C42" s="27" t="s">
        <v>143</v>
      </c>
      <c r="D42" s="28" t="s">
        <v>144</v>
      </c>
      <c r="E42" s="29">
        <v>8</v>
      </c>
      <c r="F42" s="29">
        <v>7.5</v>
      </c>
      <c r="G42" s="21">
        <f>IF(OR(E42=0,F42=0),0,E42*0.5+F42*0.5)</f>
        <v>7.75</v>
      </c>
      <c r="H42" s="30">
        <v>39388</v>
      </c>
      <c r="I42" s="27" t="s">
        <v>70</v>
      </c>
      <c r="J42" s="27" t="s">
        <v>96</v>
      </c>
      <c r="K42" s="27" t="s">
        <v>20</v>
      </c>
      <c r="L42" s="14">
        <v>10</v>
      </c>
      <c r="M42" s="14">
        <v>9</v>
      </c>
      <c r="N42" s="14">
        <v>9</v>
      </c>
      <c r="O42" s="17">
        <f>ROUND(IF(OR(G42=0,L42=0,M42=0,N42=0),0, G42*0.5+L42*0.1+M42*0.2+N42*0.2), 1)</f>
        <v>8.5</v>
      </c>
    </row>
    <row r="43" spans="1:15" ht="15" customHeight="1" x14ac:dyDescent="0.25">
      <c r="A43" s="12">
        <v>10</v>
      </c>
      <c r="B43" s="12" t="s">
        <v>15</v>
      </c>
      <c r="C43" s="12" t="s">
        <v>39</v>
      </c>
      <c r="D43" s="13" t="s">
        <v>40</v>
      </c>
      <c r="E43" s="14">
        <v>9.5</v>
      </c>
      <c r="F43" s="14">
        <v>8.5</v>
      </c>
      <c r="G43" s="15">
        <f>IF(OR(E43=0,F43=0),0,E43*0.5+F43*0.5)</f>
        <v>9</v>
      </c>
      <c r="H43" s="16">
        <v>39390</v>
      </c>
      <c r="I43" s="12" t="s">
        <v>28</v>
      </c>
      <c r="J43" s="12" t="s">
        <v>19</v>
      </c>
      <c r="K43" s="12" t="s">
        <v>20</v>
      </c>
      <c r="L43" s="14">
        <v>8</v>
      </c>
      <c r="M43" s="14">
        <v>7</v>
      </c>
      <c r="N43" s="14">
        <v>8.9</v>
      </c>
      <c r="O43" s="17">
        <f>ROUND(IF(OR(G43=0,L43=0,M43=0,N43=0),0, G43*0.5+L43*0.1+M43*0.2+N43*0.2), 1)</f>
        <v>8.5</v>
      </c>
    </row>
    <row r="44" spans="1:15" ht="15" customHeight="1" x14ac:dyDescent="0.25">
      <c r="A44" s="12">
        <v>48</v>
      </c>
      <c r="B44" s="12" t="s">
        <v>93</v>
      </c>
      <c r="C44" s="12" t="s">
        <v>119</v>
      </c>
      <c r="D44" s="13" t="s">
        <v>120</v>
      </c>
      <c r="E44" s="14">
        <v>8.5</v>
      </c>
      <c r="F44" s="14">
        <v>7</v>
      </c>
      <c r="G44" s="15">
        <f>IF(OR(E44=0,F44=0),0,E44*0.5+F44*0.5)</f>
        <v>7.75</v>
      </c>
      <c r="H44" s="16">
        <v>39423</v>
      </c>
      <c r="I44" s="12" t="s">
        <v>70</v>
      </c>
      <c r="J44" s="12" t="s">
        <v>96</v>
      </c>
      <c r="K44" s="12" t="s">
        <v>20</v>
      </c>
      <c r="L44" s="14">
        <v>10</v>
      </c>
      <c r="M44" s="14">
        <v>9</v>
      </c>
      <c r="N44" s="14">
        <v>8.5</v>
      </c>
      <c r="O44" s="17">
        <f>ROUND(IF(OR(G44=0,L44=0,M44=0,N44=0),0, G44*0.5+L44*0.1+M44*0.2+N44*0.2), 1)</f>
        <v>8.4</v>
      </c>
    </row>
    <row r="45" spans="1:15" ht="15" customHeight="1" x14ac:dyDescent="0.25">
      <c r="A45" s="12">
        <v>155</v>
      </c>
      <c r="B45" s="12" t="s">
        <v>306</v>
      </c>
      <c r="C45" s="12" t="s">
        <v>337</v>
      </c>
      <c r="D45" s="13" t="s">
        <v>338</v>
      </c>
      <c r="E45" s="14">
        <v>8.5</v>
      </c>
      <c r="F45" s="14">
        <v>6.5</v>
      </c>
      <c r="G45" s="15">
        <f>IF(OR(E45=0,F45=0),0,E45*0.5+F45*0.5)</f>
        <v>7.5</v>
      </c>
      <c r="H45" s="16">
        <v>39359</v>
      </c>
      <c r="I45" s="12" t="s">
        <v>23</v>
      </c>
      <c r="J45" s="12" t="s">
        <v>309</v>
      </c>
      <c r="K45" s="12" t="s">
        <v>20</v>
      </c>
      <c r="L45" s="14">
        <v>10</v>
      </c>
      <c r="M45" s="14">
        <v>9</v>
      </c>
      <c r="N45" s="14">
        <v>9</v>
      </c>
      <c r="O45" s="17">
        <f>ROUND(IF(OR(G45=0,L45=0,M45=0,N45=0),0, G45*0.5+L45*0.1+M45*0.2+N45*0.2), 1)</f>
        <v>8.4</v>
      </c>
    </row>
    <row r="46" spans="1:15" ht="15" customHeight="1" x14ac:dyDescent="0.25">
      <c r="A46" s="12">
        <v>208</v>
      </c>
      <c r="B46" s="12" t="s">
        <v>437</v>
      </c>
      <c r="C46" s="12" t="s">
        <v>438</v>
      </c>
      <c r="D46" s="13" t="s">
        <v>439</v>
      </c>
      <c r="E46" s="14">
        <v>8</v>
      </c>
      <c r="F46" s="14">
        <v>7.5</v>
      </c>
      <c r="G46" s="15">
        <f>IF(OR(E46=0,F46=0),0,E46*0.5+F46*0.5)</f>
        <v>7.75</v>
      </c>
      <c r="H46" s="16">
        <v>39218</v>
      </c>
      <c r="I46" s="12" t="s">
        <v>28</v>
      </c>
      <c r="J46" s="12" t="s">
        <v>96</v>
      </c>
      <c r="K46" s="12" t="s">
        <v>20</v>
      </c>
      <c r="L46" s="14">
        <v>10</v>
      </c>
      <c r="M46" s="14">
        <v>9</v>
      </c>
      <c r="N46" s="14">
        <v>8.6999999999999993</v>
      </c>
      <c r="O46" s="17">
        <f>ROUND(IF(OR(G46=0,L46=0,M46=0,N46=0),0, G46*0.5+L46*0.1+M46*0.2+N46*0.2), 1)</f>
        <v>8.4</v>
      </c>
    </row>
    <row r="47" spans="1:15" ht="15" customHeight="1" x14ac:dyDescent="0.25">
      <c r="A47" s="12">
        <v>238</v>
      </c>
      <c r="B47" s="12" t="s">
        <v>498</v>
      </c>
      <c r="C47" s="12" t="s">
        <v>499</v>
      </c>
      <c r="D47" s="13" t="s">
        <v>627</v>
      </c>
      <c r="E47" s="14">
        <v>9</v>
      </c>
      <c r="F47" s="14">
        <v>8.3000000000000007</v>
      </c>
      <c r="G47" s="15">
        <f>IF(OR(E47=0,F47=0),0,E47*0.5+F47*0.5)</f>
        <v>8.65</v>
      </c>
      <c r="H47" s="16">
        <v>39223</v>
      </c>
      <c r="I47" s="12" t="s">
        <v>70</v>
      </c>
      <c r="J47" s="12" t="s">
        <v>375</v>
      </c>
      <c r="K47" s="12" t="s">
        <v>20</v>
      </c>
      <c r="L47" s="14">
        <v>7</v>
      </c>
      <c r="M47" s="14">
        <v>7.5</v>
      </c>
      <c r="N47" s="14">
        <v>9.5</v>
      </c>
      <c r="O47" s="17">
        <f>ROUND(IF(OR(G47=0,L47=0,M47=0,N47=0),0, G47*0.5+L47*0.1+M47*0.2+N47*0.2), 1)</f>
        <v>8.4</v>
      </c>
    </row>
    <row r="48" spans="1:15" ht="15" customHeight="1" x14ac:dyDescent="0.25">
      <c r="A48" s="12">
        <v>230</v>
      </c>
      <c r="B48" s="12" t="s">
        <v>437</v>
      </c>
      <c r="C48" s="12" t="s">
        <v>482</v>
      </c>
      <c r="D48" s="13" t="s">
        <v>483</v>
      </c>
      <c r="E48" s="14">
        <v>7.5</v>
      </c>
      <c r="F48" s="14">
        <v>8.5</v>
      </c>
      <c r="G48" s="15">
        <f>IF(OR(E48=0,F48=0),0,E48*0.5+F48*0.5)</f>
        <v>8</v>
      </c>
      <c r="H48" s="16">
        <v>39305</v>
      </c>
      <c r="I48" s="12" t="s">
        <v>28</v>
      </c>
      <c r="J48" s="12" t="s">
        <v>96</v>
      </c>
      <c r="K48" s="12" t="s">
        <v>20</v>
      </c>
      <c r="L48" s="14">
        <v>10</v>
      </c>
      <c r="M48" s="14">
        <v>9</v>
      </c>
      <c r="N48" s="14">
        <v>8.1</v>
      </c>
      <c r="O48" s="17">
        <f>ROUND(IF(OR(G48=0,L48=0,M48=0,N48=0),0, G48*0.5+L48*0.1+M48*0.2+N48*0.2), 1)</f>
        <v>8.4</v>
      </c>
    </row>
    <row r="49" spans="1:15" ht="15" customHeight="1" x14ac:dyDescent="0.25">
      <c r="A49" s="27">
        <v>162</v>
      </c>
      <c r="B49" s="27" t="s">
        <v>306</v>
      </c>
      <c r="C49" s="18" t="s">
        <v>351</v>
      </c>
      <c r="D49" s="19" t="s">
        <v>352</v>
      </c>
      <c r="E49" s="20">
        <v>8</v>
      </c>
      <c r="F49" s="20">
        <v>9.3000000000000007</v>
      </c>
      <c r="G49" s="21">
        <f>IF(OR(E49=0,F49=0),0,E49*0.5+F49*0.5)</f>
        <v>8.65</v>
      </c>
      <c r="H49" s="22">
        <v>39259</v>
      </c>
      <c r="I49" s="18" t="s">
        <v>18</v>
      </c>
      <c r="J49" s="18" t="s">
        <v>309</v>
      </c>
      <c r="K49" s="18" t="s">
        <v>20</v>
      </c>
      <c r="L49" s="29">
        <v>4.5</v>
      </c>
      <c r="M49" s="29">
        <v>8.5</v>
      </c>
      <c r="N49" s="29">
        <v>9</v>
      </c>
      <c r="O49" s="17">
        <f>ROUND(IF(OR(G49=0,L49=0,M49=0,N49=0),0, G49*0.5+L49*0.1+M49*0.2+N49*0.2), 1)</f>
        <v>8.3000000000000007</v>
      </c>
    </row>
    <row r="50" spans="1:15" ht="15" customHeight="1" x14ac:dyDescent="0.25">
      <c r="A50" s="12">
        <v>66</v>
      </c>
      <c r="B50" s="12" t="s">
        <v>93</v>
      </c>
      <c r="C50" s="12" t="s">
        <v>155</v>
      </c>
      <c r="D50" s="13" t="s">
        <v>156</v>
      </c>
      <c r="E50" s="14">
        <v>8.5</v>
      </c>
      <c r="F50" s="14">
        <v>4.5</v>
      </c>
      <c r="G50" s="15">
        <f>IF(OR(E50=0,F50=0),0,E50*0.5+F50*0.5)</f>
        <v>6.5</v>
      </c>
      <c r="H50" s="16">
        <v>38971</v>
      </c>
      <c r="I50" s="12" t="s">
        <v>45</v>
      </c>
      <c r="J50" s="12" t="s">
        <v>96</v>
      </c>
      <c r="K50" s="12" t="s">
        <v>20</v>
      </c>
      <c r="L50" s="14">
        <v>10</v>
      </c>
      <c r="M50" s="14">
        <v>10</v>
      </c>
      <c r="N50" s="14">
        <v>10</v>
      </c>
      <c r="O50" s="17">
        <f>ROUND(IF(OR(G50=0,L50=0,M50=0,N50=0),0, G50*0.5+L50*0.1+M50*0.2+N50*0.2), 1)</f>
        <v>8.3000000000000007</v>
      </c>
    </row>
    <row r="51" spans="1:15" ht="15" customHeight="1" x14ac:dyDescent="0.25">
      <c r="A51" s="12">
        <v>39</v>
      </c>
      <c r="B51" s="12" t="s">
        <v>93</v>
      </c>
      <c r="C51" s="12" t="s">
        <v>101</v>
      </c>
      <c r="D51" s="13" t="s">
        <v>102</v>
      </c>
      <c r="E51" s="14">
        <v>7</v>
      </c>
      <c r="F51" s="14">
        <v>8.5</v>
      </c>
      <c r="G51" s="15">
        <f>IF(OR(E51=0,F51=0),0,E51*0.5+F51*0.5)</f>
        <v>7.75</v>
      </c>
      <c r="H51" s="16">
        <v>39111</v>
      </c>
      <c r="I51" s="12" t="s">
        <v>18</v>
      </c>
      <c r="J51" s="12" t="s">
        <v>96</v>
      </c>
      <c r="K51" s="12" t="s">
        <v>20</v>
      </c>
      <c r="L51" s="14">
        <v>10</v>
      </c>
      <c r="M51" s="14">
        <v>8</v>
      </c>
      <c r="N51" s="14">
        <v>9</v>
      </c>
      <c r="O51" s="17">
        <f>ROUND(IF(OR(G51=0,L51=0,M51=0,N51=0),0, G51*0.5+L51*0.1+M51*0.2+N51*0.2), 1)</f>
        <v>8.3000000000000007</v>
      </c>
    </row>
    <row r="52" spans="1:15" ht="15" customHeight="1" x14ac:dyDescent="0.25">
      <c r="A52" s="12">
        <v>95</v>
      </c>
      <c r="B52" s="12" t="s">
        <v>163</v>
      </c>
      <c r="C52" s="12" t="s">
        <v>214</v>
      </c>
      <c r="D52" s="13" t="s">
        <v>215</v>
      </c>
      <c r="E52" s="14">
        <v>8</v>
      </c>
      <c r="F52" s="14">
        <v>7</v>
      </c>
      <c r="G52" s="15">
        <f>IF(OR(E52=0,F52=0),0,E52*0.5+F52*0.5)</f>
        <v>7.5</v>
      </c>
      <c r="H52" s="16">
        <v>39084</v>
      </c>
      <c r="I52" s="12" t="s">
        <v>28</v>
      </c>
      <c r="J52" s="12" t="s">
        <v>166</v>
      </c>
      <c r="K52" s="12" t="s">
        <v>20</v>
      </c>
      <c r="L52" s="14">
        <v>10</v>
      </c>
      <c r="M52" s="14">
        <v>8.5</v>
      </c>
      <c r="N52" s="14">
        <v>9</v>
      </c>
      <c r="O52" s="17">
        <f>ROUND(IF(OR(G52=0,L52=0,M52=0,N52=0),0, G52*0.5+L52*0.1+M52*0.2+N52*0.2), 1)</f>
        <v>8.3000000000000007</v>
      </c>
    </row>
    <row r="53" spans="1:15" ht="15" customHeight="1" x14ac:dyDescent="0.25">
      <c r="A53" s="12">
        <v>175</v>
      </c>
      <c r="B53" s="12" t="s">
        <v>373</v>
      </c>
      <c r="C53" s="12" t="s">
        <v>377</v>
      </c>
      <c r="D53" s="13" t="s">
        <v>626</v>
      </c>
      <c r="E53" s="14">
        <v>9</v>
      </c>
      <c r="F53" s="14">
        <v>7.5</v>
      </c>
      <c r="G53" s="15">
        <f>IF(OR(E53=0,F53=0),0,E53*0.5+F53*0.5)</f>
        <v>8.25</v>
      </c>
      <c r="H53" s="16">
        <v>39224</v>
      </c>
      <c r="I53" s="12" t="s">
        <v>18</v>
      </c>
      <c r="J53" s="12" t="s">
        <v>375</v>
      </c>
      <c r="K53" s="12" t="s">
        <v>20</v>
      </c>
      <c r="L53" s="14">
        <v>6.5</v>
      </c>
      <c r="M53" s="14">
        <v>7.5</v>
      </c>
      <c r="N53" s="14">
        <v>10</v>
      </c>
      <c r="O53" s="17">
        <f>ROUND(IF(OR(G53=0,L53=0,M53=0,N53=0),0, G53*0.5+L53*0.1+M53*0.2+N53*0.2), 1)</f>
        <v>8.3000000000000007</v>
      </c>
    </row>
    <row r="54" spans="1:15" ht="15" customHeight="1" x14ac:dyDescent="0.25">
      <c r="A54" s="12">
        <v>239</v>
      </c>
      <c r="B54" s="12" t="s">
        <v>498</v>
      </c>
      <c r="C54" s="12" t="s">
        <v>500</v>
      </c>
      <c r="D54" s="13" t="s">
        <v>501</v>
      </c>
      <c r="E54" s="14">
        <v>9</v>
      </c>
      <c r="F54" s="14">
        <v>6</v>
      </c>
      <c r="G54" s="15">
        <f>IF(OR(E54=0,F54=0),0,E54*0.5+F54*0.5)</f>
        <v>7.5</v>
      </c>
      <c r="H54" s="16">
        <v>39096</v>
      </c>
      <c r="I54" s="12" t="s">
        <v>49</v>
      </c>
      <c r="J54" s="12" t="s">
        <v>19</v>
      </c>
      <c r="K54" s="12" t="s">
        <v>20</v>
      </c>
      <c r="L54" s="14">
        <v>10</v>
      </c>
      <c r="M54" s="14">
        <v>7.5</v>
      </c>
      <c r="N54" s="14">
        <v>10</v>
      </c>
      <c r="O54" s="17">
        <f>ROUND(IF(OR(G54=0,L54=0,M54=0,N54=0),0, G54*0.5+L54*0.1+M54*0.2+N54*0.2), 1)</f>
        <v>8.3000000000000007</v>
      </c>
    </row>
    <row r="55" spans="1:15" ht="15" customHeight="1" x14ac:dyDescent="0.25">
      <c r="A55" s="12">
        <v>87</v>
      </c>
      <c r="B55" s="12" t="s">
        <v>163</v>
      </c>
      <c r="C55" s="12" t="s">
        <v>198</v>
      </c>
      <c r="D55" s="13" t="s">
        <v>199</v>
      </c>
      <c r="E55" s="14">
        <v>8.5</v>
      </c>
      <c r="F55" s="14">
        <v>8.3000000000000007</v>
      </c>
      <c r="G55" s="15">
        <f>IF(OR(E55=0,F55=0),0,E55*0.5+F55*0.5)</f>
        <v>8.4</v>
      </c>
      <c r="H55" s="16">
        <v>39363</v>
      </c>
      <c r="I55" s="12" t="s">
        <v>23</v>
      </c>
      <c r="J55" s="12" t="s">
        <v>166</v>
      </c>
      <c r="K55" s="12" t="s">
        <v>20</v>
      </c>
      <c r="L55" s="14">
        <v>8</v>
      </c>
      <c r="M55" s="14">
        <v>7.5</v>
      </c>
      <c r="N55" s="14">
        <v>9.1</v>
      </c>
      <c r="O55" s="17">
        <f>ROUND(IF(OR(G55=0,L55=0,M55=0,N55=0),0, G55*0.5+L55*0.1+M55*0.2+N55*0.2), 1)</f>
        <v>8.3000000000000007</v>
      </c>
    </row>
    <row r="56" spans="1:15" ht="15" customHeight="1" x14ac:dyDescent="0.25">
      <c r="A56" s="12">
        <v>248</v>
      </c>
      <c r="B56" s="12" t="s">
        <v>498</v>
      </c>
      <c r="C56" s="12" t="s">
        <v>518</v>
      </c>
      <c r="D56" s="13" t="s">
        <v>519</v>
      </c>
      <c r="E56" s="14">
        <v>10</v>
      </c>
      <c r="F56" s="14">
        <v>6.5</v>
      </c>
      <c r="G56" s="15">
        <f>IF(OR(E56=0,F56=0),0,E56*0.5+F56*0.5)</f>
        <v>8.25</v>
      </c>
      <c r="H56" s="16">
        <v>39214</v>
      </c>
      <c r="I56" s="12" t="s">
        <v>23</v>
      </c>
      <c r="J56" s="12" t="s">
        <v>239</v>
      </c>
      <c r="K56" s="12" t="s">
        <v>20</v>
      </c>
      <c r="L56" s="14">
        <v>10</v>
      </c>
      <c r="M56" s="14">
        <v>7</v>
      </c>
      <c r="N56" s="14">
        <v>8.9</v>
      </c>
      <c r="O56" s="17">
        <f>ROUND(IF(OR(G56=0,L56=0,M56=0,N56=0),0, G56*0.5+L56*0.1+M56*0.2+N56*0.2), 1)</f>
        <v>8.3000000000000007</v>
      </c>
    </row>
    <row r="57" spans="1:15" s="31" customFormat="1" ht="15" customHeight="1" x14ac:dyDescent="0.25">
      <c r="A57" s="12">
        <v>179</v>
      </c>
      <c r="B57" s="12" t="s">
        <v>373</v>
      </c>
      <c r="C57" s="12" t="s">
        <v>381</v>
      </c>
      <c r="D57" s="13" t="s">
        <v>628</v>
      </c>
      <c r="E57" s="14">
        <v>9.5</v>
      </c>
      <c r="F57" s="14">
        <v>6.5</v>
      </c>
      <c r="G57" s="15">
        <f>IF(OR(E57=0,F57=0),0,E57*0.5+F57*0.5)</f>
        <v>8</v>
      </c>
      <c r="H57" s="16">
        <v>39053</v>
      </c>
      <c r="I57" s="12" t="s">
        <v>23</v>
      </c>
      <c r="J57" s="12" t="s">
        <v>375</v>
      </c>
      <c r="K57" s="12" t="s">
        <v>20</v>
      </c>
      <c r="L57" s="14">
        <v>9</v>
      </c>
      <c r="M57" s="14">
        <v>7.5</v>
      </c>
      <c r="N57" s="14">
        <v>9.5</v>
      </c>
      <c r="O57" s="17">
        <f>ROUND(IF(OR(G57=0,L57=0,M57=0,N57=0),0, G57*0.5+L57*0.1+M57*0.2+N57*0.2), 1)</f>
        <v>8.3000000000000007</v>
      </c>
    </row>
    <row r="58" spans="1:15" ht="15" customHeight="1" x14ac:dyDescent="0.25">
      <c r="A58" s="12">
        <v>59</v>
      </c>
      <c r="B58" s="12" t="s">
        <v>93</v>
      </c>
      <c r="C58" s="12" t="s">
        <v>141</v>
      </c>
      <c r="D58" s="13" t="s">
        <v>142</v>
      </c>
      <c r="E58" s="14">
        <v>7.5</v>
      </c>
      <c r="F58" s="14">
        <v>8.5</v>
      </c>
      <c r="G58" s="15">
        <f>IF(OR(E58=0,F58=0),0,E58*0.5+F58*0.5)</f>
        <v>8</v>
      </c>
      <c r="H58" s="16">
        <v>39300</v>
      </c>
      <c r="I58" s="12" t="s">
        <v>70</v>
      </c>
      <c r="J58" s="12" t="s">
        <v>96</v>
      </c>
      <c r="K58" s="12" t="s">
        <v>20</v>
      </c>
      <c r="L58" s="14">
        <v>10</v>
      </c>
      <c r="M58" s="14">
        <v>8</v>
      </c>
      <c r="N58" s="14">
        <v>7.9</v>
      </c>
      <c r="O58" s="17">
        <f>ROUND(IF(OR(G58=0,L58=0,M58=0,N58=0),0, G58*0.5+L58*0.1+M58*0.2+N58*0.2), 1)</f>
        <v>8.1999999999999993</v>
      </c>
    </row>
    <row r="59" spans="1:15" ht="15" customHeight="1" x14ac:dyDescent="0.25">
      <c r="A59" s="12">
        <v>136</v>
      </c>
      <c r="B59" s="12" t="s">
        <v>236</v>
      </c>
      <c r="C59" s="12" t="s">
        <v>296</v>
      </c>
      <c r="D59" s="13" t="s">
        <v>297</v>
      </c>
      <c r="E59" s="14">
        <v>10</v>
      </c>
      <c r="F59" s="14">
        <v>4.5</v>
      </c>
      <c r="G59" s="15">
        <f>IF(OR(E59=0,F59=0),0,E59*0.5+F59*0.5)</f>
        <v>7.25</v>
      </c>
      <c r="H59" s="16">
        <v>39290</v>
      </c>
      <c r="I59" s="12" t="s">
        <v>18</v>
      </c>
      <c r="J59" s="12" t="s">
        <v>239</v>
      </c>
      <c r="K59" s="12" t="s">
        <v>20</v>
      </c>
      <c r="L59" s="14">
        <v>10</v>
      </c>
      <c r="M59" s="14">
        <v>8</v>
      </c>
      <c r="N59" s="14">
        <v>9.8000000000000007</v>
      </c>
      <c r="O59" s="17">
        <f>ROUND(IF(OR(G59=0,L59=0,M59=0,N59=0),0, G59*0.5+L59*0.1+M59*0.2+N59*0.2), 1)</f>
        <v>8.1999999999999993</v>
      </c>
    </row>
    <row r="60" spans="1:15" ht="15" customHeight="1" x14ac:dyDescent="0.25">
      <c r="A60" s="12">
        <v>25</v>
      </c>
      <c r="B60" s="12" t="s">
        <v>15</v>
      </c>
      <c r="C60" s="12" t="s">
        <v>71</v>
      </c>
      <c r="D60" s="13" t="s">
        <v>72</v>
      </c>
      <c r="E60" s="14">
        <v>7</v>
      </c>
      <c r="F60" s="14">
        <v>8.8000000000000007</v>
      </c>
      <c r="G60" s="15">
        <f>IF(OR(E60=0,F60=0),0,E60*0.5+F60*0.5)</f>
        <v>7.9</v>
      </c>
      <c r="H60" s="16">
        <v>39445</v>
      </c>
      <c r="I60" s="12" t="s">
        <v>23</v>
      </c>
      <c r="J60" s="12" t="s">
        <v>19</v>
      </c>
      <c r="K60" s="12" t="s">
        <v>20</v>
      </c>
      <c r="L60" s="14">
        <v>9.5</v>
      </c>
      <c r="M60" s="14">
        <v>8.5</v>
      </c>
      <c r="N60" s="14">
        <v>7.8</v>
      </c>
      <c r="O60" s="17">
        <f>ROUND(IF(OR(G60=0,L60=0,M60=0,N60=0),0, G60*0.5+L60*0.1+M60*0.2+N60*0.2), 1)</f>
        <v>8.1999999999999993</v>
      </c>
    </row>
    <row r="61" spans="1:15" ht="15" customHeight="1" x14ac:dyDescent="0.25">
      <c r="A61" s="12">
        <v>27</v>
      </c>
      <c r="B61" s="12" t="s">
        <v>15</v>
      </c>
      <c r="C61" s="12" t="s">
        <v>75</v>
      </c>
      <c r="D61" s="13" t="s">
        <v>76</v>
      </c>
      <c r="E61" s="14">
        <v>6.5</v>
      </c>
      <c r="F61" s="14">
        <v>8.5</v>
      </c>
      <c r="G61" s="15">
        <f>IF(OR(E61=0,F61=0),0,E61*0.5+F61*0.5)</f>
        <v>7.5</v>
      </c>
      <c r="H61" s="16">
        <v>39384</v>
      </c>
      <c r="I61" s="12" t="s">
        <v>23</v>
      </c>
      <c r="J61" s="12" t="s">
        <v>19</v>
      </c>
      <c r="K61" s="12" t="s">
        <v>20</v>
      </c>
      <c r="L61" s="14">
        <v>10</v>
      </c>
      <c r="M61" s="14">
        <v>8.5</v>
      </c>
      <c r="N61" s="14">
        <v>8.5</v>
      </c>
      <c r="O61" s="17">
        <f>ROUND(IF(OR(G61=0,L61=0,M61=0,N61=0),0, G61*0.5+L61*0.1+M61*0.2+N61*0.2), 1)</f>
        <v>8.1999999999999993</v>
      </c>
    </row>
    <row r="62" spans="1:15" ht="15" customHeight="1" x14ac:dyDescent="0.25">
      <c r="A62" s="12">
        <v>58</v>
      </c>
      <c r="B62" s="12" t="s">
        <v>93</v>
      </c>
      <c r="C62" s="12" t="s">
        <v>139</v>
      </c>
      <c r="D62" s="13" t="s">
        <v>140</v>
      </c>
      <c r="E62" s="14">
        <v>8</v>
      </c>
      <c r="F62" s="14">
        <v>6</v>
      </c>
      <c r="G62" s="15">
        <f>IF(OR(E62=0,F62=0),0,E62*0.5+F62*0.5)</f>
        <v>7</v>
      </c>
      <c r="H62" s="16">
        <v>39370</v>
      </c>
      <c r="I62" s="12" t="s">
        <v>18</v>
      </c>
      <c r="J62" s="12" t="s">
        <v>96</v>
      </c>
      <c r="K62" s="12" t="s">
        <v>20</v>
      </c>
      <c r="L62" s="14">
        <v>10</v>
      </c>
      <c r="M62" s="14">
        <v>9</v>
      </c>
      <c r="N62" s="14">
        <v>9.5</v>
      </c>
      <c r="O62" s="17">
        <f>ROUND(IF(OR(G62=0,L62=0,M62=0,N62=0),0, G62*0.5+L62*0.1+M62*0.2+N62*0.2), 1)</f>
        <v>8.1999999999999993</v>
      </c>
    </row>
    <row r="63" spans="1:15" ht="15" customHeight="1" x14ac:dyDescent="0.25">
      <c r="A63" s="12">
        <v>54</v>
      </c>
      <c r="B63" s="12" t="s">
        <v>93</v>
      </c>
      <c r="C63" s="12" t="s">
        <v>131</v>
      </c>
      <c r="D63" s="13" t="s">
        <v>132</v>
      </c>
      <c r="E63" s="14">
        <v>7</v>
      </c>
      <c r="F63" s="14">
        <v>7.5</v>
      </c>
      <c r="G63" s="15">
        <f>IF(OR(E63=0,F63=0),0,E63*0.5+F63*0.5)</f>
        <v>7.25</v>
      </c>
      <c r="H63" s="16">
        <v>38614</v>
      </c>
      <c r="I63" s="12" t="s">
        <v>70</v>
      </c>
      <c r="J63" s="12" t="s">
        <v>96</v>
      </c>
      <c r="K63" s="12" t="s">
        <v>20</v>
      </c>
      <c r="L63" s="14">
        <v>10</v>
      </c>
      <c r="M63" s="14">
        <v>9</v>
      </c>
      <c r="N63" s="14">
        <v>8.9</v>
      </c>
      <c r="O63" s="17">
        <f>ROUND(IF(OR(G63=0,L63=0,M63=0,N63=0),0, G63*0.5+L63*0.1+M63*0.2+N63*0.2), 1)</f>
        <v>8.1999999999999993</v>
      </c>
    </row>
    <row r="64" spans="1:15" ht="15" customHeight="1" x14ac:dyDescent="0.25">
      <c r="A64" s="12">
        <v>265</v>
      </c>
      <c r="B64" s="12" t="s">
        <v>498</v>
      </c>
      <c r="C64" s="12" t="s">
        <v>552</v>
      </c>
      <c r="D64" s="13" t="s">
        <v>553</v>
      </c>
      <c r="E64" s="14">
        <v>7.5</v>
      </c>
      <c r="F64" s="14">
        <v>8.5</v>
      </c>
      <c r="G64" s="15">
        <f>IF(OR(E64=0,F64=0),0,E64*0.5+F64*0.5)</f>
        <v>8</v>
      </c>
      <c r="H64" s="16">
        <v>39348</v>
      </c>
      <c r="I64" s="12" t="s">
        <v>18</v>
      </c>
      <c r="J64" s="12" t="s">
        <v>19</v>
      </c>
      <c r="K64" s="12" t="s">
        <v>20</v>
      </c>
      <c r="L64" s="14">
        <v>9</v>
      </c>
      <c r="M64" s="14">
        <v>8.5</v>
      </c>
      <c r="N64" s="14">
        <v>8.1999999999999993</v>
      </c>
      <c r="O64" s="17">
        <f>ROUND(IF(OR(G64=0,L64=0,M64=0,N64=0),0, G64*0.5+L64*0.1+M64*0.2+N64*0.2), 1)</f>
        <v>8.1999999999999993</v>
      </c>
    </row>
    <row r="65" spans="1:15" ht="15" customHeight="1" x14ac:dyDescent="0.25">
      <c r="A65" s="12">
        <v>235</v>
      </c>
      <c r="B65" s="12" t="s">
        <v>437</v>
      </c>
      <c r="C65" s="12" t="s">
        <v>492</v>
      </c>
      <c r="D65" s="13" t="s">
        <v>493</v>
      </c>
      <c r="E65" s="14">
        <v>7.5</v>
      </c>
      <c r="F65" s="14">
        <v>8.5</v>
      </c>
      <c r="G65" s="15">
        <f>IF(OR(E65=0,F65=0),0,E65*0.5+F65*0.5)</f>
        <v>8</v>
      </c>
      <c r="H65" s="16">
        <v>39215</v>
      </c>
      <c r="I65" s="12" t="s">
        <v>23</v>
      </c>
      <c r="J65" s="12" t="s">
        <v>96</v>
      </c>
      <c r="K65" s="12" t="s">
        <v>20</v>
      </c>
      <c r="L65" s="14">
        <v>10</v>
      </c>
      <c r="M65" s="14">
        <v>7</v>
      </c>
      <c r="N65" s="14">
        <v>9</v>
      </c>
      <c r="O65" s="17">
        <f>ROUND(IF(OR(G65=0,L65=0,M65=0,N65=0),0, G65*0.5+L65*0.1+M65*0.2+N65*0.2), 1)</f>
        <v>8.1999999999999993</v>
      </c>
    </row>
    <row r="66" spans="1:15" ht="15" customHeight="1" x14ac:dyDescent="0.25">
      <c r="A66" s="12">
        <v>102</v>
      </c>
      <c r="B66" s="12" t="s">
        <v>163</v>
      </c>
      <c r="C66" s="12" t="s">
        <v>228</v>
      </c>
      <c r="D66" s="13" t="s">
        <v>229</v>
      </c>
      <c r="E66" s="14">
        <v>7.5</v>
      </c>
      <c r="F66" s="14">
        <v>7.5</v>
      </c>
      <c r="G66" s="15">
        <f>IF(OR(E66=0,F66=0),0,E66*0.5+F66*0.5)</f>
        <v>7.5</v>
      </c>
      <c r="H66" s="16">
        <v>39041</v>
      </c>
      <c r="I66" s="12" t="s">
        <v>70</v>
      </c>
      <c r="J66" s="12" t="s">
        <v>166</v>
      </c>
      <c r="K66" s="12" t="s">
        <v>20</v>
      </c>
      <c r="L66" s="14">
        <v>10</v>
      </c>
      <c r="M66" s="14">
        <v>8</v>
      </c>
      <c r="N66" s="14">
        <v>8.9</v>
      </c>
      <c r="O66" s="17">
        <f>ROUND(IF(OR(G66=0,L66=0,M66=0,N66=0),0, G66*0.5+L66*0.1+M66*0.2+N66*0.2), 1)</f>
        <v>8.1</v>
      </c>
    </row>
    <row r="67" spans="1:15" ht="15" customHeight="1" x14ac:dyDescent="0.25">
      <c r="A67" s="12">
        <v>13</v>
      </c>
      <c r="B67" s="12" t="s">
        <v>15</v>
      </c>
      <c r="C67" s="12" t="s">
        <v>46</v>
      </c>
      <c r="D67" s="13" t="s">
        <v>47</v>
      </c>
      <c r="E67" s="14">
        <v>9</v>
      </c>
      <c r="F67" s="14">
        <v>7.5</v>
      </c>
      <c r="G67" s="15">
        <f>IF(OR(E67=0,F67=0),0,E67*0.5+F67*0.5)</f>
        <v>8.25</v>
      </c>
      <c r="H67" s="16">
        <v>39126</v>
      </c>
      <c r="I67" s="12" t="s">
        <v>23</v>
      </c>
      <c r="J67" s="12" t="s">
        <v>19</v>
      </c>
      <c r="K67" s="12" t="s">
        <v>20</v>
      </c>
      <c r="L67" s="14">
        <v>7.5</v>
      </c>
      <c r="M67" s="14">
        <v>9</v>
      </c>
      <c r="N67" s="14">
        <v>7</v>
      </c>
      <c r="O67" s="17">
        <f>ROUND(IF(OR(G67=0,L67=0,M67=0,N67=0),0, G67*0.5+L67*0.1+M67*0.2+N67*0.2), 1)</f>
        <v>8.1</v>
      </c>
    </row>
    <row r="68" spans="1:15" ht="15" customHeight="1" x14ac:dyDescent="0.25">
      <c r="A68" s="12">
        <v>26</v>
      </c>
      <c r="B68" s="12" t="s">
        <v>15</v>
      </c>
      <c r="C68" s="12" t="s">
        <v>73</v>
      </c>
      <c r="D68" s="13" t="s">
        <v>74</v>
      </c>
      <c r="E68" s="14">
        <v>8.5</v>
      </c>
      <c r="F68" s="14">
        <v>7.5</v>
      </c>
      <c r="G68" s="15">
        <f>IF(OR(E68=0,F68=0),0,E68*0.5+F68*0.5)</f>
        <v>8</v>
      </c>
      <c r="H68" s="16">
        <v>39414</v>
      </c>
      <c r="I68" s="12" t="s">
        <v>28</v>
      </c>
      <c r="J68" s="12" t="s">
        <v>19</v>
      </c>
      <c r="K68" s="12" t="s">
        <v>20</v>
      </c>
      <c r="L68" s="14">
        <v>7</v>
      </c>
      <c r="M68" s="14">
        <v>8</v>
      </c>
      <c r="N68" s="14">
        <v>9</v>
      </c>
      <c r="O68" s="17">
        <f>ROUND(IF(OR(G68=0,L68=0,M68=0,N68=0),0, G68*0.5+L68*0.1+M68*0.2+N68*0.2), 1)</f>
        <v>8.1</v>
      </c>
    </row>
    <row r="69" spans="1:15" ht="15" customHeight="1" x14ac:dyDescent="0.25">
      <c r="A69" s="12">
        <v>64</v>
      </c>
      <c r="B69" s="12" t="s">
        <v>93</v>
      </c>
      <c r="C69" s="12" t="s">
        <v>151</v>
      </c>
      <c r="D69" s="13" t="s">
        <v>152</v>
      </c>
      <c r="E69" s="14">
        <v>7</v>
      </c>
      <c r="F69" s="14">
        <v>7.5</v>
      </c>
      <c r="G69" s="15">
        <f>IF(OR(E69=0,F69=0),0,E69*0.5+F69*0.5)</f>
        <v>7.25</v>
      </c>
      <c r="H69" s="16">
        <v>39376</v>
      </c>
      <c r="I69" s="12" t="s">
        <v>23</v>
      </c>
      <c r="J69" s="12" t="s">
        <v>96</v>
      </c>
      <c r="K69" s="12" t="s">
        <v>20</v>
      </c>
      <c r="L69" s="14">
        <v>10</v>
      </c>
      <c r="M69" s="14">
        <v>8.5</v>
      </c>
      <c r="N69" s="14">
        <v>8.6999999999999993</v>
      </c>
      <c r="O69" s="17">
        <f>ROUND(IF(OR(G69=0,L69=0,M69=0,N69=0),0, G69*0.5+L69*0.1+M69*0.2+N69*0.2), 1)</f>
        <v>8.1</v>
      </c>
    </row>
    <row r="70" spans="1:15" ht="15" customHeight="1" x14ac:dyDescent="0.25">
      <c r="A70" s="12">
        <v>263</v>
      </c>
      <c r="B70" s="12" t="s">
        <v>498</v>
      </c>
      <c r="C70" s="12" t="s">
        <v>548</v>
      </c>
      <c r="D70" s="13" t="s">
        <v>549</v>
      </c>
      <c r="E70" s="14">
        <v>10</v>
      </c>
      <c r="F70" s="14">
        <v>6</v>
      </c>
      <c r="G70" s="15">
        <f>IF(OR(E70=0,F70=0),0,E70*0.5+F70*0.5)</f>
        <v>8</v>
      </c>
      <c r="H70" s="16">
        <v>39253</v>
      </c>
      <c r="I70" s="12" t="s">
        <v>49</v>
      </c>
      <c r="J70" s="12" t="s">
        <v>19</v>
      </c>
      <c r="K70" s="12" t="s">
        <v>20</v>
      </c>
      <c r="L70" s="14">
        <v>8</v>
      </c>
      <c r="M70" s="14">
        <v>7.5</v>
      </c>
      <c r="N70" s="14">
        <v>9.1</v>
      </c>
      <c r="O70" s="17">
        <f>ROUND(IF(OR(G70=0,L70=0,M70=0,N70=0),0, G70*0.5+L70*0.1+M70*0.2+N70*0.2), 1)</f>
        <v>8.1</v>
      </c>
    </row>
    <row r="71" spans="1:15" ht="15" customHeight="1" x14ac:dyDescent="0.25">
      <c r="A71" s="12">
        <v>172</v>
      </c>
      <c r="B71" s="12" t="s">
        <v>306</v>
      </c>
      <c r="C71" s="12" t="s">
        <v>371</v>
      </c>
      <c r="D71" s="13" t="s">
        <v>372</v>
      </c>
      <c r="E71" s="14">
        <v>8.5</v>
      </c>
      <c r="F71" s="14">
        <v>5.5</v>
      </c>
      <c r="G71" s="15">
        <f>IF(OR(E71=0,F71=0),0,E71*0.5+F71*0.5)</f>
        <v>7</v>
      </c>
      <c r="H71" s="16">
        <v>39337</v>
      </c>
      <c r="I71" s="12" t="s">
        <v>23</v>
      </c>
      <c r="J71" s="12" t="s">
        <v>309</v>
      </c>
      <c r="K71" s="12" t="s">
        <v>20</v>
      </c>
      <c r="L71" s="14">
        <v>10</v>
      </c>
      <c r="M71" s="14">
        <v>9</v>
      </c>
      <c r="N71" s="14">
        <v>9</v>
      </c>
      <c r="O71" s="17">
        <f>ROUND(IF(OR(G71=0,L71=0,M71=0,N71=0),0, G71*0.5+L71*0.1+M71*0.2+N71*0.2), 1)</f>
        <v>8.1</v>
      </c>
    </row>
    <row r="72" spans="1:15" ht="15" customHeight="1" x14ac:dyDescent="0.25">
      <c r="A72" s="12">
        <v>253</v>
      </c>
      <c r="B72" s="12" t="s">
        <v>498</v>
      </c>
      <c r="C72" s="12" t="s">
        <v>528</v>
      </c>
      <c r="D72" s="13" t="s">
        <v>529</v>
      </c>
      <c r="E72" s="14">
        <v>9</v>
      </c>
      <c r="F72" s="14">
        <v>6</v>
      </c>
      <c r="G72" s="15">
        <f>IF(OR(E72=0,F72=0),0,E72*0.5+F72*0.5)</f>
        <v>7.5</v>
      </c>
      <c r="H72" s="16">
        <v>39250</v>
      </c>
      <c r="I72" s="12" t="s">
        <v>28</v>
      </c>
      <c r="J72" s="12" t="s">
        <v>19</v>
      </c>
      <c r="K72" s="12" t="s">
        <v>20</v>
      </c>
      <c r="L72" s="14">
        <v>10</v>
      </c>
      <c r="M72" s="14">
        <v>8</v>
      </c>
      <c r="N72" s="14">
        <v>8.9</v>
      </c>
      <c r="O72" s="17">
        <f>ROUND(IF(OR(G72=0,L72=0,M72=0,N72=0),0, G72*0.5+L72*0.1+M72*0.2+N72*0.2), 1)</f>
        <v>8.1</v>
      </c>
    </row>
    <row r="73" spans="1:15" ht="15" customHeight="1" x14ac:dyDescent="0.25">
      <c r="A73" s="12">
        <v>240</v>
      </c>
      <c r="B73" s="12" t="s">
        <v>498</v>
      </c>
      <c r="C73" s="12" t="s">
        <v>502</v>
      </c>
      <c r="D73" s="13" t="s">
        <v>503</v>
      </c>
      <c r="E73" s="14">
        <v>8.5</v>
      </c>
      <c r="F73" s="14">
        <v>6</v>
      </c>
      <c r="G73" s="15">
        <f>IF(OR(E73=0,F73=0),0,E73*0.5+F73*0.5)</f>
        <v>7.25</v>
      </c>
      <c r="H73" s="16">
        <v>39331</v>
      </c>
      <c r="I73" s="12" t="s">
        <v>45</v>
      </c>
      <c r="J73" s="12" t="s">
        <v>375</v>
      </c>
      <c r="K73" s="12" t="s">
        <v>20</v>
      </c>
      <c r="L73" s="14">
        <v>10</v>
      </c>
      <c r="M73" s="14">
        <v>7.5</v>
      </c>
      <c r="N73" s="14">
        <v>9.6999999999999993</v>
      </c>
      <c r="O73" s="17">
        <f>ROUND(IF(OR(G73=0,L73=0,M73=0,N73=0),0, G73*0.5+L73*0.1+M73*0.2+N73*0.2), 1)</f>
        <v>8.1</v>
      </c>
    </row>
    <row r="74" spans="1:15" ht="15" customHeight="1" x14ac:dyDescent="0.25">
      <c r="A74" s="12">
        <v>116</v>
      </c>
      <c r="B74" s="12" t="s">
        <v>236</v>
      </c>
      <c r="C74" s="12" t="s">
        <v>257</v>
      </c>
      <c r="D74" s="13" t="s">
        <v>258</v>
      </c>
      <c r="E74" s="14">
        <v>6</v>
      </c>
      <c r="F74" s="14">
        <v>8.3000000000000007</v>
      </c>
      <c r="G74" s="15">
        <f>IF(OR(E74=0,F74=0),0,E74*0.5+F74*0.5)</f>
        <v>7.15</v>
      </c>
      <c r="H74" s="16">
        <v>39433</v>
      </c>
      <c r="I74" s="12" t="s">
        <v>49</v>
      </c>
      <c r="J74" s="12" t="s">
        <v>239</v>
      </c>
      <c r="K74" s="12" t="s">
        <v>20</v>
      </c>
      <c r="L74" s="14">
        <v>10</v>
      </c>
      <c r="M74" s="14">
        <v>8.5</v>
      </c>
      <c r="N74" s="14">
        <v>9.1</v>
      </c>
      <c r="O74" s="17">
        <f>ROUND(IF(OR(G74=0,L74=0,M74=0,N74=0),0, G74*0.5+L74*0.1+M74*0.2+N74*0.2), 1)</f>
        <v>8.1</v>
      </c>
    </row>
    <row r="75" spans="1:15" ht="15" customHeight="1" x14ac:dyDescent="0.25">
      <c r="A75" s="12">
        <v>215</v>
      </c>
      <c r="B75" s="12" t="s">
        <v>437</v>
      </c>
      <c r="C75" s="12" t="s">
        <v>452</v>
      </c>
      <c r="D75" s="13" t="s">
        <v>453</v>
      </c>
      <c r="E75" s="14">
        <v>8</v>
      </c>
      <c r="F75" s="14">
        <v>6</v>
      </c>
      <c r="G75" s="15">
        <f>IF(OR(E75=0,F75=0),0,E75*0.5+F75*0.5)</f>
        <v>7</v>
      </c>
      <c r="H75" s="16">
        <v>39164</v>
      </c>
      <c r="I75" s="12" t="s">
        <v>70</v>
      </c>
      <c r="J75" s="12" t="s">
        <v>96</v>
      </c>
      <c r="K75" s="12" t="s">
        <v>20</v>
      </c>
      <c r="L75" s="14">
        <v>10</v>
      </c>
      <c r="M75" s="14">
        <v>8.5</v>
      </c>
      <c r="N75" s="14">
        <v>9.4</v>
      </c>
      <c r="O75" s="17">
        <f>ROUND(IF(OR(G75=0,L75=0,M75=0,N75=0),0, G75*0.5+L75*0.1+M75*0.2+N75*0.2), 1)</f>
        <v>8.1</v>
      </c>
    </row>
    <row r="76" spans="1:15" ht="15" customHeight="1" x14ac:dyDescent="0.25">
      <c r="A76" s="12">
        <v>286</v>
      </c>
      <c r="B76" s="12" t="s">
        <v>498</v>
      </c>
      <c r="C76" s="12" t="s">
        <v>594</v>
      </c>
      <c r="D76" s="13" t="s">
        <v>595</v>
      </c>
      <c r="E76" s="14">
        <v>7.5</v>
      </c>
      <c r="F76" s="14">
        <v>7.8</v>
      </c>
      <c r="G76" s="15">
        <f>IF(OR(E76=0,F76=0),0,E76*0.5+F76*0.5)</f>
        <v>7.65</v>
      </c>
      <c r="H76" s="16">
        <v>39091</v>
      </c>
      <c r="I76" s="12" t="s">
        <v>23</v>
      </c>
      <c r="J76" s="12" t="s">
        <v>19</v>
      </c>
      <c r="K76" s="12" t="s">
        <v>20</v>
      </c>
      <c r="L76" s="14">
        <v>10</v>
      </c>
      <c r="M76" s="14">
        <v>8</v>
      </c>
      <c r="N76" s="14">
        <v>8.3000000000000007</v>
      </c>
      <c r="O76" s="17">
        <f>ROUND(IF(OR(G76=0,L76=0,M76=0,N76=0),0, G76*0.5+L76*0.1+M76*0.2+N76*0.2), 1)</f>
        <v>8.1</v>
      </c>
    </row>
    <row r="77" spans="1:15" ht="15" customHeight="1" x14ac:dyDescent="0.25">
      <c r="A77" s="12">
        <v>168</v>
      </c>
      <c r="B77" s="12" t="s">
        <v>306</v>
      </c>
      <c r="C77" s="12" t="s">
        <v>363</v>
      </c>
      <c r="D77" s="13" t="s">
        <v>364</v>
      </c>
      <c r="E77" s="14">
        <v>7.5</v>
      </c>
      <c r="F77" s="14">
        <v>6.5</v>
      </c>
      <c r="G77" s="15">
        <f>IF(OR(E77=0,F77=0),0,E77*0.5+F77*0.5)</f>
        <v>7</v>
      </c>
      <c r="H77" s="16">
        <v>39253</v>
      </c>
      <c r="I77" s="12" t="s">
        <v>49</v>
      </c>
      <c r="J77" s="12" t="s">
        <v>309</v>
      </c>
      <c r="K77" s="12" t="s">
        <v>20</v>
      </c>
      <c r="L77" s="14">
        <v>10</v>
      </c>
      <c r="M77" s="14">
        <v>8.5</v>
      </c>
      <c r="N77" s="14">
        <v>9.4</v>
      </c>
      <c r="O77" s="17">
        <f>ROUND(IF(OR(G77=0,L77=0,M77=0,N77=0),0, G77*0.5+L77*0.1+M77*0.2+N77*0.2), 1)</f>
        <v>8.1</v>
      </c>
    </row>
    <row r="78" spans="1:15" ht="15" customHeight="1" x14ac:dyDescent="0.25">
      <c r="A78" s="12">
        <v>4</v>
      </c>
      <c r="B78" s="12" t="s">
        <v>15</v>
      </c>
      <c r="C78" s="12" t="s">
        <v>26</v>
      </c>
      <c r="D78" s="13" t="s">
        <v>27</v>
      </c>
      <c r="E78" s="14">
        <v>8.5</v>
      </c>
      <c r="F78" s="14">
        <v>4.5</v>
      </c>
      <c r="G78" s="15">
        <f>IF(OR(E78=0,F78=0),0,E78*0.5+F78*0.5)</f>
        <v>6.5</v>
      </c>
      <c r="H78" s="16">
        <v>39151</v>
      </c>
      <c r="I78" s="12" t="s">
        <v>28</v>
      </c>
      <c r="J78" s="12" t="s">
        <v>19</v>
      </c>
      <c r="K78" s="12" t="s">
        <v>20</v>
      </c>
      <c r="L78" s="14">
        <v>10</v>
      </c>
      <c r="M78" s="14">
        <v>9</v>
      </c>
      <c r="N78" s="14">
        <v>9.5</v>
      </c>
      <c r="O78" s="17">
        <f>ROUND(IF(OR(G78=0,L78=0,M78=0,N78=0),0, G78*0.5+L78*0.1+M78*0.2+N78*0.2), 1)</f>
        <v>8</v>
      </c>
    </row>
    <row r="79" spans="1:15" ht="15" customHeight="1" x14ac:dyDescent="0.25">
      <c r="A79" s="12">
        <v>122</v>
      </c>
      <c r="B79" s="12" t="s">
        <v>236</v>
      </c>
      <c r="C79" s="12" t="s">
        <v>269</v>
      </c>
      <c r="D79" s="13" t="s">
        <v>270</v>
      </c>
      <c r="E79" s="14">
        <v>8.5</v>
      </c>
      <c r="F79" s="14">
        <v>6</v>
      </c>
      <c r="G79" s="15">
        <f>IF(OR(E79=0,F79=0),0,E79*0.5+F79*0.5)</f>
        <v>7.25</v>
      </c>
      <c r="H79" s="16">
        <v>39444</v>
      </c>
      <c r="I79" s="12" t="s">
        <v>23</v>
      </c>
      <c r="J79" s="12" t="s">
        <v>239</v>
      </c>
      <c r="K79" s="12" t="s">
        <v>20</v>
      </c>
      <c r="L79" s="14">
        <v>10</v>
      </c>
      <c r="M79" s="14">
        <v>7.5</v>
      </c>
      <c r="N79" s="14">
        <v>9.5</v>
      </c>
      <c r="O79" s="17">
        <f>ROUND(IF(OR(G79=0,L79=0,M79=0,N79=0),0, G79*0.5+L79*0.1+M79*0.2+N79*0.2), 1)</f>
        <v>8</v>
      </c>
    </row>
    <row r="80" spans="1:15" ht="15" customHeight="1" x14ac:dyDescent="0.25">
      <c r="A80" s="12">
        <v>29</v>
      </c>
      <c r="B80" s="12" t="s">
        <v>15</v>
      </c>
      <c r="C80" s="12" t="s">
        <v>79</v>
      </c>
      <c r="D80" s="13" t="s">
        <v>80</v>
      </c>
      <c r="E80" s="14">
        <v>8</v>
      </c>
      <c r="F80" s="14">
        <v>6</v>
      </c>
      <c r="G80" s="15">
        <f>IF(OR(E80=0,F80=0),0,E80*0.5+F80*0.5)</f>
        <v>7</v>
      </c>
      <c r="H80" s="16">
        <v>39370</v>
      </c>
      <c r="I80" s="12" t="s">
        <v>49</v>
      </c>
      <c r="J80" s="12" t="s">
        <v>19</v>
      </c>
      <c r="K80" s="12" t="s">
        <v>20</v>
      </c>
      <c r="L80" s="14">
        <v>10</v>
      </c>
      <c r="M80" s="14">
        <v>8</v>
      </c>
      <c r="N80" s="14">
        <v>9.3000000000000007</v>
      </c>
      <c r="O80" s="17">
        <f>ROUND(IF(OR(G80=0,L80=0,M80=0,N80=0),0, G80*0.5+L80*0.1+M80*0.2+N80*0.2), 1)</f>
        <v>8</v>
      </c>
    </row>
    <row r="81" spans="1:15" ht="15" customHeight="1" x14ac:dyDescent="0.25">
      <c r="A81" s="12">
        <v>219</v>
      </c>
      <c r="B81" s="12" t="s">
        <v>437</v>
      </c>
      <c r="C81" s="12" t="s">
        <v>460</v>
      </c>
      <c r="D81" s="13" t="s">
        <v>461</v>
      </c>
      <c r="E81" s="14">
        <v>6.5</v>
      </c>
      <c r="F81" s="14">
        <v>7.5</v>
      </c>
      <c r="G81" s="15">
        <f>IF(OR(E81=0,F81=0),0,E81*0.5+F81*0.5)</f>
        <v>7</v>
      </c>
      <c r="H81" s="16">
        <v>39401</v>
      </c>
      <c r="I81" s="12" t="s">
        <v>70</v>
      </c>
      <c r="J81" s="12" t="s">
        <v>96</v>
      </c>
      <c r="K81" s="12" t="s">
        <v>20</v>
      </c>
      <c r="L81" s="14">
        <v>10</v>
      </c>
      <c r="M81" s="14">
        <v>8.5</v>
      </c>
      <c r="N81" s="14">
        <v>9</v>
      </c>
      <c r="O81" s="17">
        <f>ROUND(IF(OR(G81=0,L81=0,M81=0,N81=0),0, G81*0.5+L81*0.1+M81*0.2+N81*0.2), 1)</f>
        <v>8</v>
      </c>
    </row>
    <row r="82" spans="1:15" ht="15" customHeight="1" x14ac:dyDescent="0.25">
      <c r="A82" s="12">
        <v>282</v>
      </c>
      <c r="B82" s="12" t="s">
        <v>498</v>
      </c>
      <c r="C82" s="12" t="s">
        <v>586</v>
      </c>
      <c r="D82" s="13" t="s">
        <v>587</v>
      </c>
      <c r="E82" s="14">
        <v>8</v>
      </c>
      <c r="F82" s="14">
        <v>6.5</v>
      </c>
      <c r="G82" s="15">
        <f>IF(OR(E82=0,F82=0),0,E82*0.5+F82*0.5)</f>
        <v>7.25</v>
      </c>
      <c r="H82" s="16">
        <v>39370</v>
      </c>
      <c r="I82" s="12" t="s">
        <v>23</v>
      </c>
      <c r="J82" s="12" t="s">
        <v>19</v>
      </c>
      <c r="K82" s="12" t="s">
        <v>20</v>
      </c>
      <c r="L82" s="14">
        <v>10</v>
      </c>
      <c r="M82" s="14">
        <v>8.5</v>
      </c>
      <c r="N82" s="14">
        <v>8.6</v>
      </c>
      <c r="O82" s="17">
        <f>ROUND(IF(OR(G82=0,L82=0,M82=0,N82=0),0, G82*0.5+L82*0.1+M82*0.2+N82*0.2), 1)</f>
        <v>8</v>
      </c>
    </row>
    <row r="83" spans="1:15" ht="15" customHeight="1" x14ac:dyDescent="0.25">
      <c r="A83" s="12">
        <v>227</v>
      </c>
      <c r="B83" s="12" t="s">
        <v>437</v>
      </c>
      <c r="C83" s="12" t="s">
        <v>476</v>
      </c>
      <c r="D83" s="13" t="s">
        <v>477</v>
      </c>
      <c r="E83" s="14">
        <v>7</v>
      </c>
      <c r="F83" s="14">
        <v>7.5</v>
      </c>
      <c r="G83" s="15">
        <f>IF(OR(E83=0,F83=0),0,E83*0.5+F83*0.5)</f>
        <v>7.25</v>
      </c>
      <c r="H83" s="16">
        <v>39339</v>
      </c>
      <c r="I83" s="12" t="s">
        <v>18</v>
      </c>
      <c r="J83" s="12" t="s">
        <v>96</v>
      </c>
      <c r="K83" s="12" t="s">
        <v>20</v>
      </c>
      <c r="L83" s="14">
        <v>10</v>
      </c>
      <c r="M83" s="14">
        <v>8</v>
      </c>
      <c r="N83" s="14">
        <v>8.6999999999999993</v>
      </c>
      <c r="O83" s="17">
        <f>ROUND(IF(OR(G83=0,L83=0,M83=0,N83=0),0, G83*0.5+L83*0.1+M83*0.2+N83*0.2), 1)</f>
        <v>8</v>
      </c>
    </row>
    <row r="84" spans="1:15" ht="15" customHeight="1" x14ac:dyDescent="0.25">
      <c r="A84" s="12">
        <v>161</v>
      </c>
      <c r="B84" s="12" t="s">
        <v>306</v>
      </c>
      <c r="C84" s="12" t="s">
        <v>349</v>
      </c>
      <c r="D84" s="13" t="s">
        <v>350</v>
      </c>
      <c r="E84" s="14">
        <v>7.5</v>
      </c>
      <c r="F84" s="14">
        <v>7</v>
      </c>
      <c r="G84" s="15">
        <f>IF(OR(E84=0,F84=0),0,E84*0.5+F84*0.5)</f>
        <v>7.25</v>
      </c>
      <c r="H84" s="16">
        <v>39182</v>
      </c>
      <c r="I84" s="12" t="s">
        <v>70</v>
      </c>
      <c r="J84" s="12" t="s">
        <v>309</v>
      </c>
      <c r="K84" s="12" t="s">
        <v>20</v>
      </c>
      <c r="L84" s="14">
        <v>9.5</v>
      </c>
      <c r="M84" s="14">
        <v>8.5</v>
      </c>
      <c r="N84" s="14">
        <v>8.6</v>
      </c>
      <c r="O84" s="17">
        <f>ROUND(IF(OR(G84=0,L84=0,M84=0,N84=0),0, G84*0.5+L84*0.1+M84*0.2+N84*0.2), 1)</f>
        <v>8</v>
      </c>
    </row>
    <row r="85" spans="1:15" ht="15" customHeight="1" x14ac:dyDescent="0.25">
      <c r="A85" s="12">
        <v>259</v>
      </c>
      <c r="B85" s="12" t="s">
        <v>498</v>
      </c>
      <c r="C85" s="12" t="s">
        <v>540</v>
      </c>
      <c r="D85" s="13" t="s">
        <v>541</v>
      </c>
      <c r="E85" s="14">
        <v>8</v>
      </c>
      <c r="F85" s="14">
        <v>7.5</v>
      </c>
      <c r="G85" s="15">
        <f>IF(OR(E85=0,F85=0),0,E85*0.5+F85*0.5)</f>
        <v>7.75</v>
      </c>
      <c r="H85" s="16">
        <v>39170</v>
      </c>
      <c r="I85" s="12" t="s">
        <v>45</v>
      </c>
      <c r="J85" s="12" t="s">
        <v>19</v>
      </c>
      <c r="K85" s="12" t="s">
        <v>20</v>
      </c>
      <c r="L85" s="14">
        <v>6.5</v>
      </c>
      <c r="M85" s="14">
        <v>8.5</v>
      </c>
      <c r="N85" s="14">
        <v>9</v>
      </c>
      <c r="O85" s="17">
        <f>ROUND(IF(OR(G85=0,L85=0,M85=0,N85=0),0, G85*0.5+L85*0.1+M85*0.2+N85*0.2), 1)</f>
        <v>8</v>
      </c>
    </row>
    <row r="86" spans="1:15" ht="15" customHeight="1" x14ac:dyDescent="0.25">
      <c r="A86" s="12">
        <v>223</v>
      </c>
      <c r="B86" s="12" t="s">
        <v>437</v>
      </c>
      <c r="C86" s="12" t="s">
        <v>468</v>
      </c>
      <c r="D86" s="13" t="s">
        <v>469</v>
      </c>
      <c r="E86" s="14">
        <v>7</v>
      </c>
      <c r="F86" s="14">
        <v>7.5</v>
      </c>
      <c r="G86" s="15">
        <f>IF(OR(E86=0,F86=0),0,E86*0.5+F86*0.5)</f>
        <v>7.25</v>
      </c>
      <c r="H86" s="16">
        <v>39430</v>
      </c>
      <c r="I86" s="12" t="s">
        <v>49</v>
      </c>
      <c r="J86" s="12" t="s">
        <v>96</v>
      </c>
      <c r="K86" s="12" t="s">
        <v>20</v>
      </c>
      <c r="L86" s="14">
        <v>10</v>
      </c>
      <c r="M86" s="14">
        <v>8</v>
      </c>
      <c r="N86" s="14">
        <v>8.6999999999999993</v>
      </c>
      <c r="O86" s="17">
        <f>ROUND(IF(OR(G86=0,L86=0,M86=0,N86=0),0, G86*0.5+L86*0.1+M86*0.2+N86*0.2), 1)</f>
        <v>8</v>
      </c>
    </row>
    <row r="87" spans="1:15" ht="15" customHeight="1" x14ac:dyDescent="0.25">
      <c r="A87" s="12">
        <v>280</v>
      </c>
      <c r="B87" s="12" t="s">
        <v>498</v>
      </c>
      <c r="C87" s="12" t="s">
        <v>582</v>
      </c>
      <c r="D87" s="13" t="s">
        <v>583</v>
      </c>
      <c r="E87" s="14">
        <v>8</v>
      </c>
      <c r="F87" s="14">
        <v>6</v>
      </c>
      <c r="G87" s="15">
        <f>IF(OR(E87=0,F87=0),0,E87*0.5+F87*0.5)</f>
        <v>7</v>
      </c>
      <c r="H87" s="16">
        <v>39141</v>
      </c>
      <c r="I87" s="12" t="s">
        <v>45</v>
      </c>
      <c r="J87" s="12" t="s">
        <v>19</v>
      </c>
      <c r="K87" s="12" t="s">
        <v>20</v>
      </c>
      <c r="L87" s="14">
        <v>10</v>
      </c>
      <c r="M87" s="14">
        <v>8</v>
      </c>
      <c r="N87" s="14">
        <v>9.6999999999999993</v>
      </c>
      <c r="O87" s="17">
        <f>ROUND(IF(OR(G87=0,L87=0,M87=0,N87=0),0, G87*0.5+L87*0.1+M87*0.2+N87*0.2), 1)</f>
        <v>8</v>
      </c>
    </row>
    <row r="88" spans="1:15" ht="15" customHeight="1" x14ac:dyDescent="0.25">
      <c r="A88" s="12">
        <v>233</v>
      </c>
      <c r="B88" s="12" t="s">
        <v>437</v>
      </c>
      <c r="C88" s="12" t="s">
        <v>488</v>
      </c>
      <c r="D88" s="13" t="s">
        <v>489</v>
      </c>
      <c r="E88" s="14">
        <v>7.5</v>
      </c>
      <c r="F88" s="14">
        <v>6.5</v>
      </c>
      <c r="G88" s="15">
        <f>IF(OR(E88=0,F88=0),0,E88*0.5+F88*0.5)</f>
        <v>7</v>
      </c>
      <c r="H88" s="16">
        <v>39365</v>
      </c>
      <c r="I88" s="12" t="s">
        <v>45</v>
      </c>
      <c r="J88" s="12" t="s">
        <v>166</v>
      </c>
      <c r="K88" s="12" t="s">
        <v>20</v>
      </c>
      <c r="L88" s="14">
        <v>10</v>
      </c>
      <c r="M88" s="14">
        <v>8</v>
      </c>
      <c r="N88" s="14">
        <v>9.5</v>
      </c>
      <c r="O88" s="17">
        <f>ROUND(IF(OR(G88=0,L88=0,M88=0,N88=0),0, G88*0.5+L88*0.1+M88*0.2+N88*0.2), 1)</f>
        <v>8</v>
      </c>
    </row>
    <row r="89" spans="1:15" ht="15" customHeight="1" x14ac:dyDescent="0.25">
      <c r="A89" s="12">
        <v>117</v>
      </c>
      <c r="B89" s="12" t="s">
        <v>236</v>
      </c>
      <c r="C89" s="12" t="s">
        <v>259</v>
      </c>
      <c r="D89" s="13" t="s">
        <v>260</v>
      </c>
      <c r="E89" s="14">
        <v>6.5</v>
      </c>
      <c r="F89" s="14">
        <v>6.5</v>
      </c>
      <c r="G89" s="15">
        <f>IF(OR(E89=0,F89=0),0,E89*0.5+F89*0.5)</f>
        <v>6.5</v>
      </c>
      <c r="H89" s="16">
        <v>39390</v>
      </c>
      <c r="I89" s="12" t="s">
        <v>28</v>
      </c>
      <c r="J89" s="12" t="s">
        <v>239</v>
      </c>
      <c r="K89" s="12" t="s">
        <v>20</v>
      </c>
      <c r="L89" s="14">
        <v>10</v>
      </c>
      <c r="M89" s="14">
        <v>9.5</v>
      </c>
      <c r="N89" s="14">
        <v>9.4</v>
      </c>
      <c r="O89" s="17">
        <f>ROUND(IF(OR(G89=0,L89=0,M89=0,N89=0),0, G89*0.5+L89*0.1+M89*0.2+N89*0.2), 1)</f>
        <v>8</v>
      </c>
    </row>
    <row r="90" spans="1:15" ht="15" customHeight="1" x14ac:dyDescent="0.25">
      <c r="A90" s="27">
        <v>188</v>
      </c>
      <c r="B90" s="27" t="s">
        <v>373</v>
      </c>
      <c r="C90" s="27" t="s">
        <v>398</v>
      </c>
      <c r="D90" s="28" t="s">
        <v>399</v>
      </c>
      <c r="E90" s="29">
        <v>8</v>
      </c>
      <c r="F90" s="29">
        <v>8.8000000000000007</v>
      </c>
      <c r="G90" s="21">
        <f>IF(OR(E90=0,F90=0),0,E90*0.5+F90*0.5)</f>
        <v>8.4</v>
      </c>
      <c r="H90" s="30">
        <v>39251</v>
      </c>
      <c r="I90" s="27" t="s">
        <v>23</v>
      </c>
      <c r="J90" s="27" t="s">
        <v>375</v>
      </c>
      <c r="K90" s="27" t="s">
        <v>20</v>
      </c>
      <c r="L90" s="14">
        <v>7</v>
      </c>
      <c r="M90" s="14">
        <v>7.5</v>
      </c>
      <c r="N90" s="14">
        <v>7.8</v>
      </c>
      <c r="O90" s="17">
        <f>ROUND(IF(OR(G90=0,L90=0,M90=0,N90=0),0, G90*0.5+L90*0.1+M90*0.2+N90*0.2), 1)</f>
        <v>8</v>
      </c>
    </row>
    <row r="91" spans="1:15" s="31" customFormat="1" ht="15" customHeight="1" x14ac:dyDescent="0.25">
      <c r="A91" s="12">
        <v>2</v>
      </c>
      <c r="B91" s="12" t="s">
        <v>15</v>
      </c>
      <c r="C91" s="12" t="s">
        <v>21</v>
      </c>
      <c r="D91" s="13" t="s">
        <v>22</v>
      </c>
      <c r="E91" s="14">
        <v>6</v>
      </c>
      <c r="F91" s="14">
        <v>8.8000000000000007</v>
      </c>
      <c r="G91" s="15">
        <f>IF(OR(E91=0,F91=0),0,E91*0.5+F91*0.5)</f>
        <v>7.4</v>
      </c>
      <c r="H91" s="16">
        <v>39315</v>
      </c>
      <c r="I91" s="12" t="s">
        <v>23</v>
      </c>
      <c r="J91" s="12" t="s">
        <v>19</v>
      </c>
      <c r="K91" s="12" t="s">
        <v>20</v>
      </c>
      <c r="L91" s="14">
        <v>10</v>
      </c>
      <c r="M91" s="14">
        <v>8</v>
      </c>
      <c r="N91" s="14">
        <v>8.5</v>
      </c>
      <c r="O91" s="17">
        <f>ROUND(IF(OR(G91=0,L91=0,M91=0,N91=0),0, G91*0.5+L91*0.1+M91*0.2+N91*0.2), 1)</f>
        <v>8</v>
      </c>
    </row>
    <row r="92" spans="1:15" s="31" customFormat="1" ht="15" customHeight="1" x14ac:dyDescent="0.25">
      <c r="A92" s="12">
        <v>55</v>
      </c>
      <c r="B92" s="12" t="s">
        <v>93</v>
      </c>
      <c r="C92" s="12" t="s">
        <v>133</v>
      </c>
      <c r="D92" s="13" t="s">
        <v>134</v>
      </c>
      <c r="E92" s="14">
        <v>6.5</v>
      </c>
      <c r="F92" s="14">
        <v>7.5</v>
      </c>
      <c r="G92" s="15">
        <f>IF(OR(E92=0,F92=0),0,E92*0.5+F92*0.5)</f>
        <v>7</v>
      </c>
      <c r="H92" s="16">
        <v>39336</v>
      </c>
      <c r="I92" s="12" t="s">
        <v>70</v>
      </c>
      <c r="J92" s="12" t="s">
        <v>96</v>
      </c>
      <c r="K92" s="12" t="s">
        <v>20</v>
      </c>
      <c r="L92" s="14">
        <v>10</v>
      </c>
      <c r="M92" s="14">
        <v>8</v>
      </c>
      <c r="N92" s="14">
        <v>9</v>
      </c>
      <c r="O92" s="17">
        <f>ROUND(IF(OR(G92=0,L92=0,M92=0,N92=0),0, G92*0.5+L92*0.1+M92*0.2+N92*0.2), 1)</f>
        <v>7.9</v>
      </c>
    </row>
    <row r="93" spans="1:15" ht="15" customHeight="1" x14ac:dyDescent="0.25">
      <c r="A93" s="12">
        <v>9</v>
      </c>
      <c r="B93" s="12" t="s">
        <v>15</v>
      </c>
      <c r="C93" s="12" t="s">
        <v>37</v>
      </c>
      <c r="D93" s="13" t="s">
        <v>38</v>
      </c>
      <c r="E93" s="14">
        <v>6</v>
      </c>
      <c r="F93" s="14">
        <v>8.8000000000000007</v>
      </c>
      <c r="G93" s="15">
        <f>IF(OR(E93=0,F93=0),0,E93*0.5+F93*0.5)</f>
        <v>7.4</v>
      </c>
      <c r="H93" s="16">
        <v>39274</v>
      </c>
      <c r="I93" s="12" t="s">
        <v>28</v>
      </c>
      <c r="J93" s="12" t="s">
        <v>19</v>
      </c>
      <c r="K93" s="12" t="s">
        <v>20</v>
      </c>
      <c r="L93" s="14">
        <v>10</v>
      </c>
      <c r="M93" s="14">
        <v>8</v>
      </c>
      <c r="N93" s="14">
        <v>8</v>
      </c>
      <c r="O93" s="17">
        <f>ROUND(IF(OR(G93=0,L93=0,M93=0,N93=0),0, G93*0.5+L93*0.1+M93*0.2+N93*0.2), 1)</f>
        <v>7.9</v>
      </c>
    </row>
    <row r="94" spans="1:15" ht="15" customHeight="1" x14ac:dyDescent="0.25">
      <c r="A94" s="12">
        <v>49</v>
      </c>
      <c r="B94" s="12" t="s">
        <v>93</v>
      </c>
      <c r="C94" s="12" t="s">
        <v>121</v>
      </c>
      <c r="D94" s="13" t="s">
        <v>122</v>
      </c>
      <c r="E94" s="14">
        <v>8</v>
      </c>
      <c r="F94" s="14">
        <v>7.5</v>
      </c>
      <c r="G94" s="15">
        <f>IF(OR(E94=0,F94=0),0,E94*0.5+F94*0.5)</f>
        <v>7.75</v>
      </c>
      <c r="H94" s="16">
        <v>39415</v>
      </c>
      <c r="I94" s="12" t="s">
        <v>45</v>
      </c>
      <c r="J94" s="12" t="s">
        <v>96</v>
      </c>
      <c r="K94" s="12" t="s">
        <v>20</v>
      </c>
      <c r="L94" s="14">
        <v>6</v>
      </c>
      <c r="M94" s="14">
        <v>8</v>
      </c>
      <c r="N94" s="14">
        <v>9</v>
      </c>
      <c r="O94" s="17">
        <f>ROUND(IF(OR(G94=0,L94=0,M94=0,N94=0),0, G94*0.5+L94*0.1+M94*0.2+N94*0.2), 1)</f>
        <v>7.9</v>
      </c>
    </row>
    <row r="95" spans="1:15" ht="15" customHeight="1" x14ac:dyDescent="0.25">
      <c r="A95" s="12">
        <v>146</v>
      </c>
      <c r="B95" s="12" t="s">
        <v>306</v>
      </c>
      <c r="C95" s="12" t="s">
        <v>318</v>
      </c>
      <c r="D95" s="13" t="s">
        <v>319</v>
      </c>
      <c r="E95" s="14">
        <v>8</v>
      </c>
      <c r="F95" s="14">
        <v>8</v>
      </c>
      <c r="G95" s="15">
        <f>IF(OR(E95=0,F95=0),0,E95*0.5+F95*0.5)</f>
        <v>8</v>
      </c>
      <c r="H95" s="16">
        <v>39141</v>
      </c>
      <c r="I95" s="12" t="s">
        <v>23</v>
      </c>
      <c r="J95" s="12" t="s">
        <v>309</v>
      </c>
      <c r="K95" s="12" t="s">
        <v>20</v>
      </c>
      <c r="L95" s="14">
        <v>6.5</v>
      </c>
      <c r="M95" s="14">
        <v>7</v>
      </c>
      <c r="N95" s="14">
        <v>9</v>
      </c>
      <c r="O95" s="17">
        <f>ROUND(IF(OR(G95=0,L95=0,M95=0,N95=0),0, G95*0.5+L95*0.1+M95*0.2+N95*0.2), 1)</f>
        <v>7.9</v>
      </c>
    </row>
    <row r="96" spans="1:15" ht="15" customHeight="1" x14ac:dyDescent="0.25">
      <c r="A96" s="12">
        <v>180</v>
      </c>
      <c r="B96" s="12" t="s">
        <v>373</v>
      </c>
      <c r="C96" s="12" t="s">
        <v>382</v>
      </c>
      <c r="D96" s="13" t="s">
        <v>383</v>
      </c>
      <c r="E96" s="14">
        <v>7.5</v>
      </c>
      <c r="F96" s="14">
        <v>6</v>
      </c>
      <c r="G96" s="15">
        <f>IF(OR(E96=0,F96=0),0,E96*0.5+F96*0.5)</f>
        <v>6.75</v>
      </c>
      <c r="H96" s="16">
        <v>39430</v>
      </c>
      <c r="I96" s="12" t="s">
        <v>45</v>
      </c>
      <c r="J96" s="12" t="s">
        <v>375</v>
      </c>
      <c r="K96" s="12" t="s">
        <v>20</v>
      </c>
      <c r="L96" s="14">
        <v>8</v>
      </c>
      <c r="M96" s="14">
        <v>8.5</v>
      </c>
      <c r="N96" s="14">
        <v>10</v>
      </c>
      <c r="O96" s="17">
        <f>ROUND(IF(OR(G96=0,L96=0,M96=0,N96=0),0, G96*0.5+L96*0.1+M96*0.2+N96*0.2), 1)</f>
        <v>7.9</v>
      </c>
    </row>
    <row r="97" spans="1:15" ht="15" customHeight="1" x14ac:dyDescent="0.25">
      <c r="A97" s="12">
        <v>193</v>
      </c>
      <c r="B97" s="12" t="s">
        <v>373</v>
      </c>
      <c r="C97" s="12" t="s">
        <v>407</v>
      </c>
      <c r="D97" s="13" t="s">
        <v>408</v>
      </c>
      <c r="E97" s="14">
        <v>7.5</v>
      </c>
      <c r="F97" s="14">
        <v>8</v>
      </c>
      <c r="G97" s="15">
        <f>IF(OR(E97=0,F97=0),0,E97*0.5+F97*0.5)</f>
        <v>7.75</v>
      </c>
      <c r="H97" s="16">
        <v>39349</v>
      </c>
      <c r="I97" s="12" t="s">
        <v>18</v>
      </c>
      <c r="J97" s="12" t="s">
        <v>375</v>
      </c>
      <c r="K97" s="12" t="s">
        <v>20</v>
      </c>
      <c r="L97" s="14">
        <v>5.5</v>
      </c>
      <c r="M97" s="14">
        <v>7.5</v>
      </c>
      <c r="N97" s="14">
        <v>10</v>
      </c>
      <c r="O97" s="17">
        <f>ROUND(IF(OR(G97=0,L97=0,M97=0,N97=0),0, G97*0.5+L97*0.1+M97*0.2+N97*0.2), 1)</f>
        <v>7.9</v>
      </c>
    </row>
    <row r="98" spans="1:15" ht="15" customHeight="1" x14ac:dyDescent="0.25">
      <c r="A98" s="12">
        <v>86</v>
      </c>
      <c r="B98" s="12" t="s">
        <v>163</v>
      </c>
      <c r="C98" s="12" t="s">
        <v>196</v>
      </c>
      <c r="D98" s="13" t="s">
        <v>197</v>
      </c>
      <c r="E98" s="14">
        <v>7</v>
      </c>
      <c r="F98" s="14">
        <v>6</v>
      </c>
      <c r="G98" s="15">
        <f>IF(OR(E98=0,F98=0),0,E98*0.5+F98*0.5)</f>
        <v>6.5</v>
      </c>
      <c r="H98" s="16">
        <v>39204</v>
      </c>
      <c r="I98" s="12" t="s">
        <v>45</v>
      </c>
      <c r="J98" s="12" t="s">
        <v>166</v>
      </c>
      <c r="K98" s="12" t="s">
        <v>20</v>
      </c>
      <c r="L98" s="14">
        <v>10</v>
      </c>
      <c r="M98" s="14">
        <v>8.5</v>
      </c>
      <c r="N98" s="14">
        <v>9.5</v>
      </c>
      <c r="O98" s="17">
        <f>ROUND(IF(OR(G98=0,L98=0,M98=0,N98=0),0, G98*0.5+L98*0.1+M98*0.2+N98*0.2), 1)</f>
        <v>7.9</v>
      </c>
    </row>
    <row r="99" spans="1:15" ht="15" customHeight="1" x14ac:dyDescent="0.25">
      <c r="A99" s="12">
        <v>142</v>
      </c>
      <c r="B99" s="12" t="s">
        <v>306</v>
      </c>
      <c r="C99" s="12" t="s">
        <v>310</v>
      </c>
      <c r="D99" s="13" t="s">
        <v>311</v>
      </c>
      <c r="E99" s="14">
        <v>7.5</v>
      </c>
      <c r="F99" s="14">
        <v>6.5</v>
      </c>
      <c r="G99" s="15">
        <f>IF(OR(E99=0,F99=0),0,E99*0.5+F99*0.5)</f>
        <v>7</v>
      </c>
      <c r="H99" s="16">
        <v>39300</v>
      </c>
      <c r="I99" s="12" t="s">
        <v>49</v>
      </c>
      <c r="J99" s="12" t="s">
        <v>309</v>
      </c>
      <c r="K99" s="12" t="s">
        <v>20</v>
      </c>
      <c r="L99" s="14">
        <v>9.5</v>
      </c>
      <c r="M99" s="14">
        <v>7.5</v>
      </c>
      <c r="N99" s="14">
        <v>9.5</v>
      </c>
      <c r="O99" s="17">
        <f>ROUND(IF(OR(G99=0,L99=0,M99=0,N99=0),0, G99*0.5+L99*0.1+M99*0.2+N99*0.2), 1)</f>
        <v>7.9</v>
      </c>
    </row>
    <row r="100" spans="1:15" ht="15" customHeight="1" x14ac:dyDescent="0.25">
      <c r="A100" s="12">
        <v>284</v>
      </c>
      <c r="B100" s="12" t="s">
        <v>498</v>
      </c>
      <c r="C100" s="12" t="s">
        <v>590</v>
      </c>
      <c r="D100" s="13" t="s">
        <v>591</v>
      </c>
      <c r="E100" s="14">
        <v>7.5</v>
      </c>
      <c r="F100" s="14">
        <v>6</v>
      </c>
      <c r="G100" s="15">
        <f>IF(OR(E100=0,F100=0),0,E100*0.5+F100*0.5)</f>
        <v>6.75</v>
      </c>
      <c r="H100" s="16">
        <v>39114</v>
      </c>
      <c r="I100" s="12" t="s">
        <v>28</v>
      </c>
      <c r="J100" s="12" t="s">
        <v>19</v>
      </c>
      <c r="K100" s="12" t="s">
        <v>20</v>
      </c>
      <c r="L100" s="14">
        <v>10</v>
      </c>
      <c r="M100" s="14">
        <v>8</v>
      </c>
      <c r="N100" s="14">
        <v>9.5</v>
      </c>
      <c r="O100" s="17">
        <f>ROUND(IF(OR(G100=0,L100=0,M100=0,N100=0),0, G100*0.5+L100*0.1+M100*0.2+N100*0.2), 1)</f>
        <v>7.9</v>
      </c>
    </row>
    <row r="101" spans="1:15" ht="15" customHeight="1" x14ac:dyDescent="0.25">
      <c r="A101" s="12">
        <v>197</v>
      </c>
      <c r="B101" s="12" t="s">
        <v>373</v>
      </c>
      <c r="C101" s="12" t="s">
        <v>415</v>
      </c>
      <c r="D101" s="13" t="s">
        <v>416</v>
      </c>
      <c r="E101" s="14">
        <v>7</v>
      </c>
      <c r="F101" s="14">
        <v>7.5</v>
      </c>
      <c r="G101" s="15">
        <f>IF(OR(E101=0,F101=0),0,E101*0.5+F101*0.5)</f>
        <v>7.25</v>
      </c>
      <c r="H101" s="16">
        <v>39303</v>
      </c>
      <c r="I101" s="12" t="s">
        <v>23</v>
      </c>
      <c r="J101" s="12" t="s">
        <v>375</v>
      </c>
      <c r="K101" s="12" t="s">
        <v>20</v>
      </c>
      <c r="L101" s="14">
        <v>8</v>
      </c>
      <c r="M101" s="14">
        <v>7.5</v>
      </c>
      <c r="N101" s="14">
        <v>10</v>
      </c>
      <c r="O101" s="17">
        <f>ROUND(IF(OR(G101=0,L101=0,M101=0,N101=0),0, G101*0.5+L101*0.1+M101*0.2+N101*0.2), 1)</f>
        <v>7.9</v>
      </c>
    </row>
    <row r="102" spans="1:15" ht="15" customHeight="1" x14ac:dyDescent="0.25">
      <c r="A102" s="12">
        <v>45</v>
      </c>
      <c r="B102" s="12" t="s">
        <v>93</v>
      </c>
      <c r="C102" s="12" t="s">
        <v>113</v>
      </c>
      <c r="D102" s="13" t="s">
        <v>114</v>
      </c>
      <c r="E102" s="14">
        <v>8.5</v>
      </c>
      <c r="F102" s="14">
        <v>4.5</v>
      </c>
      <c r="G102" s="15">
        <f>IF(OR(E102=0,F102=0),0,E102*0.5+F102*0.5)</f>
        <v>6.5</v>
      </c>
      <c r="H102" s="16">
        <v>39432</v>
      </c>
      <c r="I102" s="12" t="s">
        <v>18</v>
      </c>
      <c r="J102" s="12" t="s">
        <v>96</v>
      </c>
      <c r="K102" s="12" t="s">
        <v>20</v>
      </c>
      <c r="L102" s="14">
        <v>10</v>
      </c>
      <c r="M102" s="14">
        <v>9</v>
      </c>
      <c r="N102" s="14">
        <v>9</v>
      </c>
      <c r="O102" s="17">
        <f>ROUND(IF(OR(G102=0,L102=0,M102=0,N102=0),0, G102*0.5+L102*0.1+M102*0.2+N102*0.2), 1)</f>
        <v>7.9</v>
      </c>
    </row>
    <row r="103" spans="1:15" s="31" customFormat="1" ht="15" customHeight="1" x14ac:dyDescent="0.25">
      <c r="A103" s="12">
        <v>220</v>
      </c>
      <c r="B103" s="12" t="s">
        <v>437</v>
      </c>
      <c r="C103" s="12" t="s">
        <v>462</v>
      </c>
      <c r="D103" s="13" t="s">
        <v>463</v>
      </c>
      <c r="E103" s="14">
        <v>8.5</v>
      </c>
      <c r="F103" s="14">
        <v>4.5</v>
      </c>
      <c r="G103" s="15">
        <f>IF(OR(E103=0,F103=0),0,E103*0.5+F103*0.5)</f>
        <v>6.5</v>
      </c>
      <c r="H103" s="16">
        <v>39303</v>
      </c>
      <c r="I103" s="12" t="s">
        <v>45</v>
      </c>
      <c r="J103" s="12" t="s">
        <v>96</v>
      </c>
      <c r="K103" s="12" t="s">
        <v>20</v>
      </c>
      <c r="L103" s="14">
        <v>10</v>
      </c>
      <c r="M103" s="14">
        <v>9</v>
      </c>
      <c r="N103" s="14">
        <v>9</v>
      </c>
      <c r="O103" s="17">
        <f>ROUND(IF(OR(G103=0,L103=0,M103=0,N103=0),0, G103*0.5+L103*0.1+M103*0.2+N103*0.2), 1)</f>
        <v>7.9</v>
      </c>
    </row>
    <row r="104" spans="1:15" ht="15" customHeight="1" x14ac:dyDescent="0.25">
      <c r="A104" s="12">
        <v>273</v>
      </c>
      <c r="B104" s="12" t="s">
        <v>498</v>
      </c>
      <c r="C104" s="12" t="s">
        <v>568</v>
      </c>
      <c r="D104" s="13" t="s">
        <v>569</v>
      </c>
      <c r="E104" s="14">
        <v>8</v>
      </c>
      <c r="F104" s="14">
        <v>6</v>
      </c>
      <c r="G104" s="15">
        <f>IF(OR(E104=0,F104=0),0,E104*0.5+F104*0.5)</f>
        <v>7</v>
      </c>
      <c r="H104" s="16">
        <v>39283</v>
      </c>
      <c r="I104" s="12" t="s">
        <v>45</v>
      </c>
      <c r="J104" s="12" t="s">
        <v>375</v>
      </c>
      <c r="K104" s="12" t="s">
        <v>20</v>
      </c>
      <c r="L104" s="14">
        <v>9</v>
      </c>
      <c r="M104" s="14">
        <v>8</v>
      </c>
      <c r="N104" s="14">
        <v>9.5</v>
      </c>
      <c r="O104" s="17">
        <f>ROUND(IF(OR(G104=0,L104=0,M104=0,N104=0),0, G104*0.5+L104*0.1+M104*0.2+N104*0.2), 1)</f>
        <v>7.9</v>
      </c>
    </row>
    <row r="105" spans="1:15" ht="15" customHeight="1" x14ac:dyDescent="0.25">
      <c r="A105" s="12">
        <v>51</v>
      </c>
      <c r="B105" s="12" t="s">
        <v>93</v>
      </c>
      <c r="C105" s="12" t="s">
        <v>125</v>
      </c>
      <c r="D105" s="13" t="s">
        <v>126</v>
      </c>
      <c r="E105" s="14">
        <v>6</v>
      </c>
      <c r="F105" s="14">
        <v>7.5</v>
      </c>
      <c r="G105" s="15">
        <f>IF(OR(E105=0,F105=0),0,E105*0.5+F105*0.5)</f>
        <v>6.75</v>
      </c>
      <c r="H105" s="16">
        <v>39315</v>
      </c>
      <c r="I105" s="12" t="s">
        <v>70</v>
      </c>
      <c r="J105" s="12" t="s">
        <v>96</v>
      </c>
      <c r="K105" s="12" t="s">
        <v>20</v>
      </c>
      <c r="L105" s="14">
        <v>10</v>
      </c>
      <c r="M105" s="14">
        <v>9</v>
      </c>
      <c r="N105" s="14">
        <v>8.4</v>
      </c>
      <c r="O105" s="17">
        <f>ROUND(IF(OR(G105=0,L105=0,M105=0,N105=0),0, G105*0.5+L105*0.1+M105*0.2+N105*0.2), 1)</f>
        <v>7.9</v>
      </c>
    </row>
    <row r="106" spans="1:15" ht="15" customHeight="1" x14ac:dyDescent="0.25">
      <c r="A106" s="12">
        <v>91</v>
      </c>
      <c r="B106" s="12" t="s">
        <v>163</v>
      </c>
      <c r="C106" s="12" t="s">
        <v>206</v>
      </c>
      <c r="D106" s="13" t="s">
        <v>207</v>
      </c>
      <c r="E106" s="14">
        <v>8</v>
      </c>
      <c r="F106" s="14">
        <v>7.5</v>
      </c>
      <c r="G106" s="15">
        <f>IF(OR(E106=0,F106=0),0,E106*0.5+F106*0.5)</f>
        <v>7.75</v>
      </c>
      <c r="H106" s="16">
        <v>39439</v>
      </c>
      <c r="I106" s="12" t="s">
        <v>28</v>
      </c>
      <c r="J106" s="12" t="s">
        <v>166</v>
      </c>
      <c r="K106" s="12" t="s">
        <v>20</v>
      </c>
      <c r="L106" s="14">
        <v>6</v>
      </c>
      <c r="M106" s="14">
        <v>7.5</v>
      </c>
      <c r="N106" s="14">
        <v>9.3000000000000007</v>
      </c>
      <c r="O106" s="17">
        <f>ROUND(IF(OR(G106=0,L106=0,M106=0,N106=0),0, G106*0.5+L106*0.1+M106*0.2+N106*0.2), 1)</f>
        <v>7.8</v>
      </c>
    </row>
    <row r="107" spans="1:15" ht="15" customHeight="1" x14ac:dyDescent="0.25">
      <c r="A107" s="12">
        <v>33</v>
      </c>
      <c r="B107" s="12" t="s">
        <v>15</v>
      </c>
      <c r="C107" s="12" t="s">
        <v>87</v>
      </c>
      <c r="D107" s="13" t="s">
        <v>88</v>
      </c>
      <c r="E107" s="14">
        <v>7</v>
      </c>
      <c r="F107" s="14">
        <v>6</v>
      </c>
      <c r="G107" s="15">
        <f>IF(OR(E107=0,F107=0),0,E107*0.5+F107*0.5)</f>
        <v>6.5</v>
      </c>
      <c r="H107" s="16">
        <v>38792</v>
      </c>
      <c r="I107" s="12" t="s">
        <v>49</v>
      </c>
      <c r="J107" s="12" t="s">
        <v>19</v>
      </c>
      <c r="K107" s="12" t="s">
        <v>20</v>
      </c>
      <c r="L107" s="14">
        <v>10</v>
      </c>
      <c r="M107" s="14">
        <v>8</v>
      </c>
      <c r="N107" s="14">
        <v>9.5</v>
      </c>
      <c r="O107" s="17">
        <f>ROUND(IF(OR(G107=0,L107=0,M107=0,N107=0),0, G107*0.5+L107*0.1+M107*0.2+N107*0.2), 1)</f>
        <v>7.8</v>
      </c>
    </row>
    <row r="108" spans="1:15" ht="15" customHeight="1" x14ac:dyDescent="0.25">
      <c r="A108" s="12">
        <v>43</v>
      </c>
      <c r="B108" s="12" t="s">
        <v>93</v>
      </c>
      <c r="C108" s="12" t="s">
        <v>109</v>
      </c>
      <c r="D108" s="13" t="s">
        <v>110</v>
      </c>
      <c r="E108" s="14">
        <v>9</v>
      </c>
      <c r="F108" s="14">
        <v>4.5</v>
      </c>
      <c r="G108" s="15">
        <f>IF(OR(E108=0,F108=0),0,E108*0.5+F108*0.5)</f>
        <v>6.75</v>
      </c>
      <c r="H108" s="16">
        <v>39210</v>
      </c>
      <c r="I108" s="12" t="s">
        <v>28</v>
      </c>
      <c r="J108" s="12" t="s">
        <v>96</v>
      </c>
      <c r="K108" s="12" t="s">
        <v>20</v>
      </c>
      <c r="L108" s="14">
        <v>10</v>
      </c>
      <c r="M108" s="14">
        <v>9</v>
      </c>
      <c r="N108" s="14">
        <v>8</v>
      </c>
      <c r="O108" s="17">
        <f>ROUND(IF(OR(G108=0,L108=0,M108=0,N108=0),0, G108*0.5+L108*0.1+M108*0.2+N108*0.2), 1)</f>
        <v>7.8</v>
      </c>
    </row>
    <row r="109" spans="1:15" ht="15" customHeight="1" x14ac:dyDescent="0.25">
      <c r="A109" s="12">
        <v>194</v>
      </c>
      <c r="B109" s="12" t="s">
        <v>373</v>
      </c>
      <c r="C109" s="18" t="s">
        <v>409</v>
      </c>
      <c r="D109" s="19" t="s">
        <v>410</v>
      </c>
      <c r="E109" s="20">
        <v>8</v>
      </c>
      <c r="F109" s="20">
        <v>6</v>
      </c>
      <c r="G109" s="21">
        <f>IF(OR(E109=0,F109=0),0,E109*0.5+F109*0.5)</f>
        <v>7</v>
      </c>
      <c r="H109" s="22">
        <v>39153</v>
      </c>
      <c r="I109" s="18" t="s">
        <v>45</v>
      </c>
      <c r="J109" s="18" t="s">
        <v>375</v>
      </c>
      <c r="K109" s="18" t="s">
        <v>20</v>
      </c>
      <c r="L109" s="14">
        <v>9</v>
      </c>
      <c r="M109" s="14">
        <v>7.5</v>
      </c>
      <c r="N109" s="14">
        <v>9.3000000000000007</v>
      </c>
      <c r="O109" s="17">
        <f>ROUND(IF(OR(G109=0,L109=0,M109=0,N109=0),0, G109*0.5+L109*0.1+M109*0.2+N109*0.2), 1)</f>
        <v>7.8</v>
      </c>
    </row>
    <row r="110" spans="1:15" ht="15" customHeight="1" x14ac:dyDescent="0.25">
      <c r="A110" s="12">
        <v>276</v>
      </c>
      <c r="B110" s="12" t="s">
        <v>498</v>
      </c>
      <c r="C110" s="12" t="s">
        <v>574</v>
      </c>
      <c r="D110" s="13" t="s">
        <v>575</v>
      </c>
      <c r="E110" s="14">
        <v>7.5</v>
      </c>
      <c r="F110" s="14">
        <v>6.5</v>
      </c>
      <c r="G110" s="15">
        <f>IF(OR(E110=0,F110=0),0,E110*0.5+F110*0.5)</f>
        <v>7</v>
      </c>
      <c r="H110" s="16">
        <v>39317</v>
      </c>
      <c r="I110" s="12" t="s">
        <v>18</v>
      </c>
      <c r="J110" s="12" t="s">
        <v>19</v>
      </c>
      <c r="K110" s="12" t="s">
        <v>20</v>
      </c>
      <c r="L110" s="14">
        <v>9.5</v>
      </c>
      <c r="M110" s="14">
        <v>8.5</v>
      </c>
      <c r="N110" s="14">
        <v>8</v>
      </c>
      <c r="O110" s="17">
        <f>ROUND(IF(OR(G110=0,L110=0,M110=0,N110=0),0, G110*0.5+L110*0.1+M110*0.2+N110*0.2), 1)</f>
        <v>7.8</v>
      </c>
    </row>
    <row r="111" spans="1:15" ht="15" customHeight="1" x14ac:dyDescent="0.25">
      <c r="A111" s="12">
        <v>152</v>
      </c>
      <c r="B111" s="12" t="s">
        <v>306</v>
      </c>
      <c r="C111" s="12" t="s">
        <v>331</v>
      </c>
      <c r="D111" s="13" t="s">
        <v>332</v>
      </c>
      <c r="E111" s="14">
        <v>7.5</v>
      </c>
      <c r="F111" s="14">
        <v>7.5</v>
      </c>
      <c r="G111" s="15">
        <f>IF(OR(E111=0,F111=0),0,E111*0.5+F111*0.5)</f>
        <v>7.5</v>
      </c>
      <c r="H111" s="16">
        <v>39151</v>
      </c>
      <c r="I111" s="12" t="s">
        <v>28</v>
      </c>
      <c r="J111" s="12" t="s">
        <v>309</v>
      </c>
      <c r="K111" s="12" t="s">
        <v>20</v>
      </c>
      <c r="L111" s="14">
        <v>10</v>
      </c>
      <c r="M111" s="14">
        <v>7</v>
      </c>
      <c r="N111" s="14">
        <v>8.1999999999999993</v>
      </c>
      <c r="O111" s="17">
        <f>ROUND(IF(OR(G111=0,L111=0,M111=0,N111=0),0, G111*0.5+L111*0.1+M111*0.2+N111*0.2), 1)</f>
        <v>7.8</v>
      </c>
    </row>
    <row r="112" spans="1:15" ht="15" customHeight="1" x14ac:dyDescent="0.25">
      <c r="A112" s="12">
        <v>195</v>
      </c>
      <c r="B112" s="12" t="s">
        <v>373</v>
      </c>
      <c r="C112" s="12" t="s">
        <v>411</v>
      </c>
      <c r="D112" s="13" t="s">
        <v>412</v>
      </c>
      <c r="E112" s="14">
        <v>9</v>
      </c>
      <c r="F112" s="14">
        <v>5.5</v>
      </c>
      <c r="G112" s="15">
        <f>IF(OR(E112=0,F112=0),0,E112*0.5+F112*0.5)</f>
        <v>7.25</v>
      </c>
      <c r="H112" s="16">
        <v>39327</v>
      </c>
      <c r="I112" s="12" t="s">
        <v>23</v>
      </c>
      <c r="J112" s="12" t="s">
        <v>375</v>
      </c>
      <c r="K112" s="12" t="s">
        <v>20</v>
      </c>
      <c r="L112" s="14">
        <v>7</v>
      </c>
      <c r="M112" s="14">
        <v>7.5</v>
      </c>
      <c r="N112" s="14">
        <v>9.6999999999999993</v>
      </c>
      <c r="O112" s="17">
        <f>ROUND(IF(OR(G112=0,L112=0,M112=0,N112=0),0, G112*0.5+L112*0.1+M112*0.2+N112*0.2), 1)</f>
        <v>7.8</v>
      </c>
    </row>
    <row r="113" spans="1:15" ht="15" customHeight="1" x14ac:dyDescent="0.25">
      <c r="A113" s="12">
        <v>218</v>
      </c>
      <c r="B113" s="12" t="s">
        <v>437</v>
      </c>
      <c r="C113" s="12" t="s">
        <v>458</v>
      </c>
      <c r="D113" s="13" t="s">
        <v>459</v>
      </c>
      <c r="E113" s="14">
        <v>6</v>
      </c>
      <c r="F113" s="14">
        <v>8.5</v>
      </c>
      <c r="G113" s="15">
        <f>IF(OR(E113=0,F113=0),0,E113*0.5+F113*0.5)</f>
        <v>7.25</v>
      </c>
      <c r="H113" s="16">
        <v>39280</v>
      </c>
      <c r="I113" s="12" t="s">
        <v>45</v>
      </c>
      <c r="J113" s="12" t="s">
        <v>96</v>
      </c>
      <c r="K113" s="12" t="s">
        <v>20</v>
      </c>
      <c r="L113" s="14">
        <v>10</v>
      </c>
      <c r="M113" s="14">
        <v>8.5</v>
      </c>
      <c r="N113" s="14">
        <v>7.5</v>
      </c>
      <c r="O113" s="17">
        <f>ROUND(IF(OR(G113=0,L113=0,M113=0,N113=0),0, G113*0.5+L113*0.1+M113*0.2+N113*0.2), 1)</f>
        <v>7.8</v>
      </c>
    </row>
    <row r="114" spans="1:15" ht="15" customHeight="1" x14ac:dyDescent="0.25">
      <c r="A114" s="12">
        <v>225</v>
      </c>
      <c r="B114" s="12" t="s">
        <v>437</v>
      </c>
      <c r="C114" s="18" t="s">
        <v>472</v>
      </c>
      <c r="D114" s="19" t="s">
        <v>473</v>
      </c>
      <c r="E114" s="20">
        <v>7</v>
      </c>
      <c r="F114" s="20">
        <v>5.5</v>
      </c>
      <c r="G114" s="21">
        <f>IF(OR(E114=0,F114=0),0,E114*0.5+F114*0.5)</f>
        <v>6.25</v>
      </c>
      <c r="H114" s="22">
        <v>39353</v>
      </c>
      <c r="I114" s="18" t="s">
        <v>45</v>
      </c>
      <c r="J114" s="18" t="s">
        <v>96</v>
      </c>
      <c r="K114" s="18" t="s">
        <v>20</v>
      </c>
      <c r="L114" s="14">
        <v>10</v>
      </c>
      <c r="M114" s="14">
        <v>9</v>
      </c>
      <c r="N114" s="14">
        <v>9.5</v>
      </c>
      <c r="O114" s="17">
        <f>ROUND(IF(OR(G114=0,L114=0,M114=0,N114=0),0, G114*0.5+L114*0.1+M114*0.2+N114*0.2), 1)</f>
        <v>7.8</v>
      </c>
    </row>
    <row r="115" spans="1:15" ht="15" customHeight="1" x14ac:dyDescent="0.25">
      <c r="A115" s="12">
        <v>32</v>
      </c>
      <c r="B115" s="12" t="s">
        <v>15</v>
      </c>
      <c r="C115" s="12" t="s">
        <v>85</v>
      </c>
      <c r="D115" s="13" t="s">
        <v>86</v>
      </c>
      <c r="E115" s="14">
        <v>8</v>
      </c>
      <c r="F115" s="14">
        <v>4.5</v>
      </c>
      <c r="G115" s="15">
        <f>IF(OR(E115=0,F115=0),0,E115*0.5+F115*0.5)</f>
        <v>6.25</v>
      </c>
      <c r="H115" s="16">
        <v>39391</v>
      </c>
      <c r="I115" s="12" t="s">
        <v>45</v>
      </c>
      <c r="J115" s="12" t="s">
        <v>19</v>
      </c>
      <c r="K115" s="12" t="s">
        <v>20</v>
      </c>
      <c r="L115" s="14">
        <v>10</v>
      </c>
      <c r="M115" s="14">
        <v>8.5</v>
      </c>
      <c r="N115" s="14">
        <v>9.4</v>
      </c>
      <c r="O115" s="17">
        <f>ROUND(IF(OR(G115=0,L115=0,M115=0,N115=0),0, G115*0.5+L115*0.1+M115*0.2+N115*0.2), 1)</f>
        <v>7.7</v>
      </c>
    </row>
    <row r="116" spans="1:15" ht="15" customHeight="1" x14ac:dyDescent="0.25">
      <c r="A116" s="12">
        <v>61</v>
      </c>
      <c r="B116" s="12" t="s">
        <v>93</v>
      </c>
      <c r="C116" s="12" t="s">
        <v>145</v>
      </c>
      <c r="D116" s="13" t="s">
        <v>146</v>
      </c>
      <c r="E116" s="14">
        <v>8.5</v>
      </c>
      <c r="F116" s="14">
        <v>4.5</v>
      </c>
      <c r="G116" s="15">
        <f>IF(OR(E116=0,F116=0),0,E116*0.5+F116*0.5)</f>
        <v>6.5</v>
      </c>
      <c r="H116" s="16">
        <v>39311</v>
      </c>
      <c r="I116" s="12" t="s">
        <v>18</v>
      </c>
      <c r="J116" s="12" t="s">
        <v>96</v>
      </c>
      <c r="K116" s="12" t="s">
        <v>20</v>
      </c>
      <c r="L116" s="14">
        <v>10</v>
      </c>
      <c r="M116" s="14">
        <v>8.5</v>
      </c>
      <c r="N116" s="14">
        <v>8.9</v>
      </c>
      <c r="O116" s="17">
        <f>ROUND(IF(OR(G116=0,L116=0,M116=0,N116=0),0, G116*0.5+L116*0.1+M116*0.2+N116*0.2), 1)</f>
        <v>7.7</v>
      </c>
    </row>
    <row r="117" spans="1:15" ht="15" customHeight="1" x14ac:dyDescent="0.25">
      <c r="A117" s="12">
        <v>278</v>
      </c>
      <c r="B117" s="12" t="s">
        <v>498</v>
      </c>
      <c r="C117" s="12" t="s">
        <v>578</v>
      </c>
      <c r="D117" s="13" t="s">
        <v>579</v>
      </c>
      <c r="E117" s="14">
        <v>7.5</v>
      </c>
      <c r="F117" s="14">
        <v>6</v>
      </c>
      <c r="G117" s="15">
        <f>IF(OR(E117=0,F117=0),0,E117*0.5+F117*0.5)</f>
        <v>6.75</v>
      </c>
      <c r="H117" s="16">
        <v>39320</v>
      </c>
      <c r="I117" s="12" t="s">
        <v>23</v>
      </c>
      <c r="J117" s="12" t="s">
        <v>375</v>
      </c>
      <c r="K117" s="12" t="s">
        <v>20</v>
      </c>
      <c r="L117" s="14">
        <v>9</v>
      </c>
      <c r="M117" s="14">
        <v>8.5</v>
      </c>
      <c r="N117" s="14">
        <v>8.5</v>
      </c>
      <c r="O117" s="17">
        <f>ROUND(IF(OR(G117=0,L117=0,M117=0,N117=0),0, G117*0.5+L117*0.1+M117*0.2+N117*0.2), 1)</f>
        <v>7.7</v>
      </c>
    </row>
    <row r="118" spans="1:15" ht="15" customHeight="1" x14ac:dyDescent="0.25">
      <c r="A118" s="12">
        <v>182</v>
      </c>
      <c r="B118" s="12" t="s">
        <v>373</v>
      </c>
      <c r="C118" s="12" t="s">
        <v>386</v>
      </c>
      <c r="D118" s="13" t="s">
        <v>387</v>
      </c>
      <c r="E118" s="14">
        <v>7.5</v>
      </c>
      <c r="F118" s="14">
        <v>6</v>
      </c>
      <c r="G118" s="15">
        <f>IF(OR(E118=0,F118=0),0,E118*0.5+F118*0.5)</f>
        <v>6.75</v>
      </c>
      <c r="H118" s="16">
        <v>39372</v>
      </c>
      <c r="I118" s="12" t="s">
        <v>45</v>
      </c>
      <c r="J118" s="12" t="s">
        <v>375</v>
      </c>
      <c r="K118" s="12" t="s">
        <v>20</v>
      </c>
      <c r="L118" s="14">
        <v>9</v>
      </c>
      <c r="M118" s="14">
        <v>7.5</v>
      </c>
      <c r="N118" s="14">
        <v>9.5</v>
      </c>
      <c r="O118" s="17">
        <f>ROUND(IF(OR(G118=0,L118=0,M118=0,N118=0),0, G118*0.5+L118*0.1+M118*0.2+N118*0.2), 1)</f>
        <v>7.7</v>
      </c>
    </row>
    <row r="119" spans="1:15" ht="15" customHeight="1" x14ac:dyDescent="0.25">
      <c r="A119" s="27">
        <v>111</v>
      </c>
      <c r="B119" s="27" t="s">
        <v>236</v>
      </c>
      <c r="C119" s="27" t="s">
        <v>248</v>
      </c>
      <c r="D119" s="28" t="s">
        <v>249</v>
      </c>
      <c r="E119" s="29">
        <v>7.5</v>
      </c>
      <c r="F119" s="29">
        <v>6</v>
      </c>
      <c r="G119" s="21">
        <f>IF(OR(E119=0,F119=0),0,E119*0.5+F119*0.5)</f>
        <v>6.75</v>
      </c>
      <c r="H119" s="30">
        <v>39119</v>
      </c>
      <c r="I119" s="27" t="s">
        <v>45</v>
      </c>
      <c r="J119" s="27" t="s">
        <v>239</v>
      </c>
      <c r="K119" s="27" t="s">
        <v>20</v>
      </c>
      <c r="L119" s="14">
        <v>10</v>
      </c>
      <c r="M119" s="14">
        <v>7.5</v>
      </c>
      <c r="N119" s="14">
        <v>9.1</v>
      </c>
      <c r="O119" s="17">
        <f>ROUND(IF(OR(G119=0,L119=0,M119=0,N119=0),0, G119*0.5+L119*0.1+M119*0.2+N119*0.2), 1)</f>
        <v>7.7</v>
      </c>
    </row>
    <row r="120" spans="1:15" ht="15" customHeight="1" x14ac:dyDescent="0.25">
      <c r="A120" s="12">
        <v>96</v>
      </c>
      <c r="B120" s="12" t="s">
        <v>163</v>
      </c>
      <c r="C120" s="12" t="s">
        <v>216</v>
      </c>
      <c r="D120" s="13" t="s">
        <v>217</v>
      </c>
      <c r="E120" s="14">
        <v>7</v>
      </c>
      <c r="F120" s="14">
        <v>4.5</v>
      </c>
      <c r="G120" s="15">
        <f>IF(OR(E120=0,F120=0),0,E120*0.5+F120*0.5)</f>
        <v>5.75</v>
      </c>
      <c r="H120" s="16">
        <v>39090</v>
      </c>
      <c r="I120" s="12" t="s">
        <v>70</v>
      </c>
      <c r="J120" s="12" t="s">
        <v>166</v>
      </c>
      <c r="K120" s="12" t="s">
        <v>20</v>
      </c>
      <c r="L120" s="14">
        <v>10</v>
      </c>
      <c r="M120" s="14">
        <v>9.5</v>
      </c>
      <c r="N120" s="14">
        <v>9.5</v>
      </c>
      <c r="O120" s="17">
        <f>ROUND(IF(OR(G120=0,L120=0,M120=0,N120=0),0, G120*0.5+L120*0.1+M120*0.2+N120*0.2), 1)</f>
        <v>7.7</v>
      </c>
    </row>
    <row r="121" spans="1:15" ht="15" customHeight="1" x14ac:dyDescent="0.25">
      <c r="A121" s="12">
        <v>148</v>
      </c>
      <c r="B121" s="12" t="s">
        <v>306</v>
      </c>
      <c r="C121" s="12" t="s">
        <v>322</v>
      </c>
      <c r="D121" s="13" t="s">
        <v>323</v>
      </c>
      <c r="E121" s="14">
        <v>8</v>
      </c>
      <c r="F121" s="14">
        <v>4.5</v>
      </c>
      <c r="G121" s="15">
        <f>IF(OR(E121=0,F121=0),0,E121*0.5+F121*0.5)</f>
        <v>6.25</v>
      </c>
      <c r="H121" s="16">
        <v>39085</v>
      </c>
      <c r="I121" s="12" t="s">
        <v>70</v>
      </c>
      <c r="J121" s="12" t="s">
        <v>309</v>
      </c>
      <c r="K121" s="12" t="s">
        <v>20</v>
      </c>
      <c r="L121" s="14">
        <v>9.5</v>
      </c>
      <c r="M121" s="14">
        <v>8.5</v>
      </c>
      <c r="N121" s="14">
        <v>9.5</v>
      </c>
      <c r="O121" s="17">
        <f>ROUND(IF(OR(G121=0,L121=0,M121=0,N121=0),0, G121*0.5+L121*0.1+M121*0.2+N121*0.2), 1)</f>
        <v>7.7</v>
      </c>
    </row>
    <row r="122" spans="1:15" ht="15" customHeight="1" x14ac:dyDescent="0.25">
      <c r="A122" s="12">
        <v>164</v>
      </c>
      <c r="B122" s="12" t="s">
        <v>306</v>
      </c>
      <c r="C122" s="12" t="s">
        <v>355</v>
      </c>
      <c r="D122" s="13" t="s">
        <v>356</v>
      </c>
      <c r="E122" s="14">
        <v>8</v>
      </c>
      <c r="F122" s="14">
        <v>5.5</v>
      </c>
      <c r="G122" s="15">
        <f>IF(OR(E122=0,F122=0),0,E122*0.5+F122*0.5)</f>
        <v>6.75</v>
      </c>
      <c r="H122" s="16">
        <v>39279</v>
      </c>
      <c r="I122" s="12" t="s">
        <v>23</v>
      </c>
      <c r="J122" s="12" t="s">
        <v>309</v>
      </c>
      <c r="K122" s="12" t="s">
        <v>20</v>
      </c>
      <c r="L122" s="14">
        <v>7.5</v>
      </c>
      <c r="M122" s="14">
        <v>8.5</v>
      </c>
      <c r="N122" s="14">
        <v>9</v>
      </c>
      <c r="O122" s="17">
        <f>ROUND(IF(OR(G122=0,L122=0,M122=0,N122=0),0, G122*0.5+L122*0.1+M122*0.2+N122*0.2), 1)</f>
        <v>7.6</v>
      </c>
    </row>
    <row r="123" spans="1:15" ht="15" customHeight="1" x14ac:dyDescent="0.25">
      <c r="A123" s="12">
        <v>69</v>
      </c>
      <c r="B123" s="12" t="s">
        <v>93</v>
      </c>
      <c r="C123" s="12" t="s">
        <v>161</v>
      </c>
      <c r="D123" s="13" t="s">
        <v>162</v>
      </c>
      <c r="E123" s="14">
        <v>8</v>
      </c>
      <c r="F123" s="14">
        <v>4.5</v>
      </c>
      <c r="G123" s="15">
        <f>IF(OR(E123=0,F123=0),0,E123*0.5+F123*0.5)</f>
        <v>6.25</v>
      </c>
      <c r="H123" s="16">
        <v>39271</v>
      </c>
      <c r="I123" s="12" t="s">
        <v>49</v>
      </c>
      <c r="J123" s="12" t="s">
        <v>96</v>
      </c>
      <c r="K123" s="12" t="s">
        <v>20</v>
      </c>
      <c r="L123" s="14">
        <v>10</v>
      </c>
      <c r="M123" s="14">
        <v>8.5</v>
      </c>
      <c r="N123" s="14">
        <v>8.9</v>
      </c>
      <c r="O123" s="17">
        <f>ROUND(IF(OR(G123=0,L123=0,M123=0,N123=0),0, G123*0.5+L123*0.1+M123*0.2+N123*0.2), 1)</f>
        <v>7.6</v>
      </c>
    </row>
    <row r="124" spans="1:15" ht="15" customHeight="1" x14ac:dyDescent="0.25">
      <c r="A124" s="12">
        <v>153</v>
      </c>
      <c r="B124" s="12" t="s">
        <v>306</v>
      </c>
      <c r="C124" s="12" t="s">
        <v>333</v>
      </c>
      <c r="D124" s="13" t="s">
        <v>334</v>
      </c>
      <c r="E124" s="14">
        <v>8</v>
      </c>
      <c r="F124" s="14">
        <v>5.5</v>
      </c>
      <c r="G124" s="15">
        <f>IF(OR(E124=0,F124=0),0,E124*0.5+F124*0.5)</f>
        <v>6.75</v>
      </c>
      <c r="H124" s="16">
        <v>39161</v>
      </c>
      <c r="I124" s="12" t="s">
        <v>49</v>
      </c>
      <c r="J124" s="12" t="s">
        <v>309</v>
      </c>
      <c r="K124" s="12" t="s">
        <v>20</v>
      </c>
      <c r="L124" s="14">
        <v>9.5</v>
      </c>
      <c r="M124" s="14">
        <v>7</v>
      </c>
      <c r="N124" s="14">
        <v>9.5</v>
      </c>
      <c r="O124" s="17">
        <f>ROUND(IF(OR(G124=0,L124=0,M124=0,N124=0),0, G124*0.5+L124*0.1+M124*0.2+N124*0.2), 1)</f>
        <v>7.6</v>
      </c>
    </row>
    <row r="125" spans="1:15" ht="15" customHeight="1" x14ac:dyDescent="0.25">
      <c r="A125" s="12">
        <v>262</v>
      </c>
      <c r="B125" s="12" t="s">
        <v>498</v>
      </c>
      <c r="C125" s="12" t="s">
        <v>546</v>
      </c>
      <c r="D125" s="13" t="s">
        <v>547</v>
      </c>
      <c r="E125" s="14">
        <v>8</v>
      </c>
      <c r="F125" s="14">
        <v>5.5</v>
      </c>
      <c r="G125" s="15">
        <f>IF(OR(E125=0,F125=0),0,E125*0.5+F125*0.5)</f>
        <v>6.75</v>
      </c>
      <c r="H125" s="16">
        <v>39331</v>
      </c>
      <c r="I125" s="12" t="s">
        <v>45</v>
      </c>
      <c r="J125" s="12" t="s">
        <v>19</v>
      </c>
      <c r="K125" s="12" t="s">
        <v>20</v>
      </c>
      <c r="L125" s="14">
        <v>10</v>
      </c>
      <c r="M125" s="14">
        <v>7</v>
      </c>
      <c r="N125" s="14">
        <v>9.3000000000000007</v>
      </c>
      <c r="O125" s="17">
        <f>ROUND(IF(OR(G125=0,L125=0,M125=0,N125=0),0, G125*0.5+L125*0.1+M125*0.2+N125*0.2), 1)</f>
        <v>7.6</v>
      </c>
    </row>
    <row r="126" spans="1:15" ht="15" customHeight="1" x14ac:dyDescent="0.25">
      <c r="A126" s="12">
        <v>84</v>
      </c>
      <c r="B126" s="12" t="s">
        <v>163</v>
      </c>
      <c r="C126" s="12" t="s">
        <v>192</v>
      </c>
      <c r="D126" s="13" t="s">
        <v>193</v>
      </c>
      <c r="E126" s="14">
        <v>6.5</v>
      </c>
      <c r="F126" s="14">
        <v>6</v>
      </c>
      <c r="G126" s="15">
        <f>IF(OR(E126=0,F126=0),0,E126*0.5+F126*0.5)</f>
        <v>6.25</v>
      </c>
      <c r="H126" s="16">
        <v>39178</v>
      </c>
      <c r="I126" s="12" t="s">
        <v>18</v>
      </c>
      <c r="J126" s="12" t="s">
        <v>166</v>
      </c>
      <c r="K126" s="12" t="s">
        <v>20</v>
      </c>
      <c r="L126" s="14">
        <v>10</v>
      </c>
      <c r="M126" s="14">
        <v>8</v>
      </c>
      <c r="N126" s="14">
        <v>9.1999999999999993</v>
      </c>
      <c r="O126" s="17">
        <f>ROUND(IF(OR(G126=0,L126=0,M126=0,N126=0),0, G126*0.5+L126*0.1+M126*0.2+N126*0.2), 1)</f>
        <v>7.6</v>
      </c>
    </row>
    <row r="127" spans="1:15" ht="15" customHeight="1" x14ac:dyDescent="0.25">
      <c r="A127" s="12">
        <v>285</v>
      </c>
      <c r="B127" s="12" t="s">
        <v>498</v>
      </c>
      <c r="C127" s="12" t="s">
        <v>592</v>
      </c>
      <c r="D127" s="13" t="s">
        <v>593</v>
      </c>
      <c r="E127" s="14">
        <v>6</v>
      </c>
      <c r="F127" s="14">
        <v>6</v>
      </c>
      <c r="G127" s="15">
        <f>IF(OR(E127=0,F127=0),0,E127*0.5+F127*0.5)</f>
        <v>6</v>
      </c>
      <c r="H127" s="16">
        <v>39410</v>
      </c>
      <c r="I127" s="12" t="s">
        <v>49</v>
      </c>
      <c r="J127" s="12" t="s">
        <v>375</v>
      </c>
      <c r="K127" s="12" t="s">
        <v>20</v>
      </c>
      <c r="L127" s="14">
        <v>10</v>
      </c>
      <c r="M127" s="14">
        <v>8</v>
      </c>
      <c r="N127" s="14">
        <v>10</v>
      </c>
      <c r="O127" s="17">
        <f>ROUND(IF(OR(G127=0,L127=0,M127=0,N127=0),0, G127*0.5+L127*0.1+M127*0.2+N127*0.2), 1)</f>
        <v>7.6</v>
      </c>
    </row>
    <row r="128" spans="1:15" ht="15" customHeight="1" x14ac:dyDescent="0.25">
      <c r="A128" s="12">
        <v>237</v>
      </c>
      <c r="B128" s="12" t="s">
        <v>437</v>
      </c>
      <c r="C128" s="12" t="s">
        <v>496</v>
      </c>
      <c r="D128" s="13" t="s">
        <v>497</v>
      </c>
      <c r="E128" s="14">
        <v>8</v>
      </c>
      <c r="F128" s="14">
        <v>4.5</v>
      </c>
      <c r="G128" s="15">
        <f>IF(OR(E128=0,F128=0),0,E128*0.5+F128*0.5)</f>
        <v>6.25</v>
      </c>
      <c r="H128" s="16">
        <v>39132</v>
      </c>
      <c r="I128" s="12" t="s">
        <v>70</v>
      </c>
      <c r="J128" s="12" t="s">
        <v>96</v>
      </c>
      <c r="K128" s="12" t="s">
        <v>20</v>
      </c>
      <c r="L128" s="14">
        <v>10</v>
      </c>
      <c r="M128" s="14">
        <v>8</v>
      </c>
      <c r="N128" s="14">
        <v>9.4</v>
      </c>
      <c r="O128" s="17">
        <f>ROUND(IF(OR(G128=0,L128=0,M128=0,N128=0),0, G128*0.5+L128*0.1+M128*0.2+N128*0.2), 1)</f>
        <v>7.6</v>
      </c>
    </row>
    <row r="129" spans="1:15" ht="15" customHeight="1" x14ac:dyDescent="0.25">
      <c r="A129" s="12">
        <v>228</v>
      </c>
      <c r="B129" s="12" t="s">
        <v>437</v>
      </c>
      <c r="C129" s="12" t="s">
        <v>478</v>
      </c>
      <c r="D129" s="13" t="s">
        <v>479</v>
      </c>
      <c r="E129" s="14">
        <v>8</v>
      </c>
      <c r="F129" s="14">
        <v>3.5</v>
      </c>
      <c r="G129" s="15">
        <f>IF(OR(E129=0,F129=0),0,E129*0.5+F129*0.5)</f>
        <v>5.75</v>
      </c>
      <c r="H129" s="16">
        <v>39229</v>
      </c>
      <c r="I129" s="12" t="s">
        <v>18</v>
      </c>
      <c r="J129" s="12" t="s">
        <v>96</v>
      </c>
      <c r="K129" s="12" t="s">
        <v>20</v>
      </c>
      <c r="L129" s="14">
        <v>10</v>
      </c>
      <c r="M129" s="14">
        <v>9.5</v>
      </c>
      <c r="N129" s="14">
        <v>9</v>
      </c>
      <c r="O129" s="17">
        <f>ROUND(IF(OR(G129=0,L129=0,M129=0,N129=0),0, G129*0.5+L129*0.1+M129*0.2+N129*0.2), 1)</f>
        <v>7.6</v>
      </c>
    </row>
    <row r="130" spans="1:15" ht="15" customHeight="1" x14ac:dyDescent="0.25">
      <c r="A130" s="12">
        <v>143</v>
      </c>
      <c r="B130" s="12" t="s">
        <v>306</v>
      </c>
      <c r="C130" s="12" t="s">
        <v>312</v>
      </c>
      <c r="D130" s="13" t="s">
        <v>313</v>
      </c>
      <c r="E130" s="14">
        <v>6</v>
      </c>
      <c r="F130" s="14">
        <v>8</v>
      </c>
      <c r="G130" s="15">
        <f>IF(OR(E130=0,F130=0),0,E130*0.5+F130*0.5)</f>
        <v>7</v>
      </c>
      <c r="H130" s="16">
        <v>39402</v>
      </c>
      <c r="I130" s="12" t="s">
        <v>49</v>
      </c>
      <c r="J130" s="12" t="s">
        <v>309</v>
      </c>
      <c r="K130" s="12" t="s">
        <v>20</v>
      </c>
      <c r="L130" s="14">
        <v>6.5</v>
      </c>
      <c r="M130" s="14">
        <v>8</v>
      </c>
      <c r="N130" s="14">
        <v>9</v>
      </c>
      <c r="O130" s="17">
        <f>ROUND(IF(OR(G130=0,L130=0,M130=0,N130=0),0, G130*0.5+L130*0.1+M130*0.2+N130*0.2), 1)</f>
        <v>7.6</v>
      </c>
    </row>
    <row r="131" spans="1:15" ht="15" customHeight="1" x14ac:dyDescent="0.25">
      <c r="A131" s="12">
        <v>134</v>
      </c>
      <c r="B131" s="12" t="s">
        <v>236</v>
      </c>
      <c r="C131" s="12" t="s">
        <v>293</v>
      </c>
      <c r="D131" s="13" t="s">
        <v>67</v>
      </c>
      <c r="E131" s="14">
        <v>7</v>
      </c>
      <c r="F131" s="14">
        <v>6</v>
      </c>
      <c r="G131" s="15">
        <f>IF(OR(E131=0,F131=0),0,E131*0.5+F131*0.5)</f>
        <v>6.5</v>
      </c>
      <c r="H131" s="16">
        <v>39367</v>
      </c>
      <c r="I131" s="12" t="s">
        <v>18</v>
      </c>
      <c r="J131" s="12" t="s">
        <v>239</v>
      </c>
      <c r="K131" s="12" t="s">
        <v>20</v>
      </c>
      <c r="L131" s="14">
        <v>10</v>
      </c>
      <c r="M131" s="14">
        <v>7.5</v>
      </c>
      <c r="N131" s="14">
        <v>9</v>
      </c>
      <c r="O131" s="17">
        <f>ROUND(IF(OR(G131=0,L131=0,M131=0,N131=0),0, G131*0.5+L131*0.1+M131*0.2+N131*0.2), 1)</f>
        <v>7.6</v>
      </c>
    </row>
    <row r="132" spans="1:15" ht="15" customHeight="1" x14ac:dyDescent="0.25">
      <c r="A132" s="12">
        <v>101</v>
      </c>
      <c r="B132" s="12" t="s">
        <v>163</v>
      </c>
      <c r="C132" s="12" t="s">
        <v>226</v>
      </c>
      <c r="D132" s="13" t="s">
        <v>227</v>
      </c>
      <c r="E132" s="14">
        <v>7</v>
      </c>
      <c r="F132" s="14">
        <v>5.5</v>
      </c>
      <c r="G132" s="15">
        <f>IF(OR(E132=0,F132=0),0,E132*0.5+F132*0.5)</f>
        <v>6.25</v>
      </c>
      <c r="H132" s="16">
        <v>39438</v>
      </c>
      <c r="I132" s="12" t="s">
        <v>45</v>
      </c>
      <c r="J132" s="12" t="s">
        <v>166</v>
      </c>
      <c r="K132" s="12" t="s">
        <v>20</v>
      </c>
      <c r="L132" s="14">
        <v>10</v>
      </c>
      <c r="M132" s="14">
        <v>8</v>
      </c>
      <c r="N132" s="14">
        <v>9.5</v>
      </c>
      <c r="O132" s="17">
        <f>ROUND(IF(OR(G132=0,L132=0,M132=0,N132=0),0, G132*0.5+L132*0.1+M132*0.2+N132*0.2), 1)</f>
        <v>7.6</v>
      </c>
    </row>
    <row r="133" spans="1:15" ht="15" customHeight="1" x14ac:dyDescent="0.25">
      <c r="A133" s="12">
        <v>173</v>
      </c>
      <c r="B133" s="12" t="s">
        <v>373</v>
      </c>
      <c r="C133" s="12" t="s">
        <v>374</v>
      </c>
      <c r="D133" s="13" t="s">
        <v>625</v>
      </c>
      <c r="E133" s="14">
        <v>8.5</v>
      </c>
      <c r="F133" s="14">
        <v>6</v>
      </c>
      <c r="G133" s="15">
        <f>IF(OR(E133=0,F133=0),0,E133*0.5+F133*0.5)</f>
        <v>7.25</v>
      </c>
      <c r="H133" s="16">
        <v>39359</v>
      </c>
      <c r="I133" s="12" t="s">
        <v>45</v>
      </c>
      <c r="J133" s="12" t="s">
        <v>375</v>
      </c>
      <c r="K133" s="12" t="s">
        <v>20</v>
      </c>
      <c r="L133" s="14">
        <v>9</v>
      </c>
      <c r="M133" s="14">
        <v>7.5</v>
      </c>
      <c r="N133" s="14">
        <v>7.5</v>
      </c>
      <c r="O133" s="17">
        <f>ROUND(IF(OR(G133=0,L133=0,M133=0,N133=0),0, G133*0.5+L133*0.1+M133*0.2+N133*0.2), 1)</f>
        <v>7.5</v>
      </c>
    </row>
    <row r="134" spans="1:15" ht="15" customHeight="1" x14ac:dyDescent="0.25">
      <c r="A134" s="12">
        <v>12</v>
      </c>
      <c r="B134" s="12" t="s">
        <v>15</v>
      </c>
      <c r="C134" s="12" t="s">
        <v>43</v>
      </c>
      <c r="D134" s="13" t="s">
        <v>44</v>
      </c>
      <c r="E134" s="14">
        <v>7.5</v>
      </c>
      <c r="F134" s="14">
        <v>6</v>
      </c>
      <c r="G134" s="15">
        <f>IF(OR(E134=0,F134=0),0,E134*0.5+F134*0.5)</f>
        <v>6.75</v>
      </c>
      <c r="H134" s="16">
        <v>39411</v>
      </c>
      <c r="I134" s="12" t="s">
        <v>45</v>
      </c>
      <c r="J134" s="12" t="s">
        <v>19</v>
      </c>
      <c r="K134" s="12" t="s">
        <v>20</v>
      </c>
      <c r="L134" s="14">
        <v>8.5</v>
      </c>
      <c r="M134" s="14">
        <v>7</v>
      </c>
      <c r="N134" s="14">
        <v>9.4</v>
      </c>
      <c r="O134" s="17">
        <f>ROUND(IF(OR(G134=0,L134=0,M134=0,N134=0),0, G134*0.5+L134*0.1+M134*0.2+N134*0.2), 1)</f>
        <v>7.5</v>
      </c>
    </row>
    <row r="135" spans="1:15" ht="15" customHeight="1" x14ac:dyDescent="0.25">
      <c r="A135" s="12">
        <v>100</v>
      </c>
      <c r="B135" s="12" t="s">
        <v>163</v>
      </c>
      <c r="C135" s="12" t="s">
        <v>224</v>
      </c>
      <c r="D135" s="13" t="s">
        <v>225</v>
      </c>
      <c r="E135" s="14">
        <v>8</v>
      </c>
      <c r="F135" s="14">
        <v>4.5</v>
      </c>
      <c r="G135" s="15">
        <f>IF(OR(E135=0,F135=0),0,E135*0.5+F135*0.5)</f>
        <v>6.25</v>
      </c>
      <c r="H135" s="16">
        <v>39317</v>
      </c>
      <c r="I135" s="12" t="s">
        <v>28</v>
      </c>
      <c r="J135" s="12" t="s">
        <v>166</v>
      </c>
      <c r="K135" s="12" t="s">
        <v>20</v>
      </c>
      <c r="L135" s="14">
        <v>10</v>
      </c>
      <c r="M135" s="14">
        <v>8</v>
      </c>
      <c r="N135" s="14">
        <v>8.9</v>
      </c>
      <c r="O135" s="17">
        <f>ROUND(IF(OR(G135=0,L135=0,M135=0,N135=0),0, G135*0.5+L135*0.1+M135*0.2+N135*0.2), 1)</f>
        <v>7.5</v>
      </c>
    </row>
    <row r="136" spans="1:15" ht="15" customHeight="1" x14ac:dyDescent="0.25">
      <c r="A136" s="12">
        <v>50</v>
      </c>
      <c r="B136" s="12" t="s">
        <v>93</v>
      </c>
      <c r="C136" s="12" t="s">
        <v>123</v>
      </c>
      <c r="D136" s="13" t="s">
        <v>124</v>
      </c>
      <c r="E136" s="14">
        <v>8</v>
      </c>
      <c r="F136" s="14">
        <v>4.5</v>
      </c>
      <c r="G136" s="15">
        <f>IF(OR(E136=0,F136=0),0,E136*0.5+F136*0.5)</f>
        <v>6.25</v>
      </c>
      <c r="H136" s="16">
        <v>39374</v>
      </c>
      <c r="I136" s="12" t="s">
        <v>49</v>
      </c>
      <c r="J136" s="12" t="s">
        <v>96</v>
      </c>
      <c r="K136" s="12" t="s">
        <v>20</v>
      </c>
      <c r="L136" s="14">
        <v>10</v>
      </c>
      <c r="M136" s="14">
        <v>8</v>
      </c>
      <c r="N136" s="14">
        <v>9</v>
      </c>
      <c r="O136" s="17">
        <f>ROUND(IF(OR(G136=0,L136=0,M136=0,N136=0),0, G136*0.5+L136*0.1+M136*0.2+N136*0.2), 1)</f>
        <v>7.5</v>
      </c>
    </row>
    <row r="137" spans="1:15" ht="15" customHeight="1" x14ac:dyDescent="0.25">
      <c r="A137" s="12">
        <v>19</v>
      </c>
      <c r="B137" s="12" t="s">
        <v>15</v>
      </c>
      <c r="C137" s="12" t="s">
        <v>58</v>
      </c>
      <c r="D137" s="13" t="s">
        <v>59</v>
      </c>
      <c r="E137" s="14">
        <v>6</v>
      </c>
      <c r="F137" s="14">
        <v>6</v>
      </c>
      <c r="G137" s="15">
        <f>IF(OR(E137=0,F137=0),0,E137*0.5+F137*0.5)</f>
        <v>6</v>
      </c>
      <c r="H137" s="16">
        <v>39372</v>
      </c>
      <c r="I137" s="12" t="s">
        <v>28</v>
      </c>
      <c r="J137" s="12" t="s">
        <v>19</v>
      </c>
      <c r="K137" s="12" t="s">
        <v>20</v>
      </c>
      <c r="L137" s="14">
        <v>10</v>
      </c>
      <c r="M137" s="14">
        <v>8</v>
      </c>
      <c r="N137" s="14">
        <v>9.5</v>
      </c>
      <c r="O137" s="17">
        <f>ROUND(IF(OR(G137=0,L137=0,M137=0,N137=0),0, G137*0.5+L137*0.1+M137*0.2+N137*0.2), 1)</f>
        <v>7.5</v>
      </c>
    </row>
    <row r="138" spans="1:15" ht="15" customHeight="1" x14ac:dyDescent="0.25">
      <c r="A138" s="12">
        <v>16</v>
      </c>
      <c r="B138" s="12" t="s">
        <v>15</v>
      </c>
      <c r="C138" s="12" t="s">
        <v>52</v>
      </c>
      <c r="D138" s="13" t="s">
        <v>53</v>
      </c>
      <c r="E138" s="14">
        <v>6</v>
      </c>
      <c r="F138" s="14">
        <v>7.5</v>
      </c>
      <c r="G138" s="15">
        <f>IF(OR(E138=0,F138=0),0,E138*0.5+F138*0.5)</f>
        <v>6.75</v>
      </c>
      <c r="H138" s="16">
        <v>39414</v>
      </c>
      <c r="I138" s="12" t="s">
        <v>45</v>
      </c>
      <c r="J138" s="12" t="s">
        <v>19</v>
      </c>
      <c r="K138" s="12" t="s">
        <v>20</v>
      </c>
      <c r="L138" s="14">
        <v>8</v>
      </c>
      <c r="M138" s="14">
        <v>8</v>
      </c>
      <c r="N138" s="14">
        <v>8.8000000000000007</v>
      </c>
      <c r="O138" s="17">
        <f>ROUND(IF(OR(G138=0,L138=0,M138=0,N138=0),0, G138*0.5+L138*0.1+M138*0.2+N138*0.2), 1)</f>
        <v>7.5</v>
      </c>
    </row>
    <row r="139" spans="1:15" ht="15" customHeight="1" x14ac:dyDescent="0.25">
      <c r="A139" s="27">
        <v>204</v>
      </c>
      <c r="B139" s="27" t="s">
        <v>373</v>
      </c>
      <c r="C139" s="18" t="s">
        <v>429</v>
      </c>
      <c r="D139" s="19" t="s">
        <v>430</v>
      </c>
      <c r="E139" s="20">
        <v>6.5</v>
      </c>
      <c r="F139" s="20">
        <v>5.5</v>
      </c>
      <c r="G139" s="21">
        <f>IF(OR(E139=0,F139=0),0,E139*0.5+F139*0.5)</f>
        <v>6</v>
      </c>
      <c r="H139" s="22">
        <v>39331</v>
      </c>
      <c r="I139" s="18" t="s">
        <v>70</v>
      </c>
      <c r="J139" s="18" t="s">
        <v>375</v>
      </c>
      <c r="K139" s="18" t="s">
        <v>20</v>
      </c>
      <c r="L139" s="29">
        <v>10</v>
      </c>
      <c r="M139" s="29">
        <v>9</v>
      </c>
      <c r="N139" s="29">
        <v>8.6999999999999993</v>
      </c>
      <c r="O139" s="17">
        <f>ROUND(IF(OR(G139=0,L139=0,M139=0,N139=0),0, G139*0.5+L139*0.1+M139*0.2+N139*0.2), 1)</f>
        <v>7.5</v>
      </c>
    </row>
    <row r="140" spans="1:15" ht="15" customHeight="1" x14ac:dyDescent="0.25">
      <c r="A140" s="12">
        <v>99</v>
      </c>
      <c r="B140" s="12" t="s">
        <v>163</v>
      </c>
      <c r="C140" s="12" t="s">
        <v>222</v>
      </c>
      <c r="D140" s="13" t="s">
        <v>223</v>
      </c>
      <c r="E140" s="14">
        <v>6.5</v>
      </c>
      <c r="F140" s="14">
        <v>4.5</v>
      </c>
      <c r="G140" s="15">
        <f>IF(OR(E140=0,F140=0),0,E140*0.5+F140*0.5)</f>
        <v>5.5</v>
      </c>
      <c r="H140" s="16">
        <v>39128</v>
      </c>
      <c r="I140" s="12" t="s">
        <v>23</v>
      </c>
      <c r="J140" s="12" t="s">
        <v>166</v>
      </c>
      <c r="K140" s="12" t="s">
        <v>20</v>
      </c>
      <c r="L140" s="14">
        <v>10</v>
      </c>
      <c r="M140" s="14">
        <v>9</v>
      </c>
      <c r="N140" s="14">
        <v>9.5</v>
      </c>
      <c r="O140" s="17">
        <f>ROUND(IF(OR(G140=0,L140=0,M140=0,N140=0),0, G140*0.5+L140*0.1+M140*0.2+N140*0.2), 1)</f>
        <v>7.5</v>
      </c>
    </row>
    <row r="141" spans="1:15" ht="15" customHeight="1" x14ac:dyDescent="0.25">
      <c r="A141" s="12">
        <v>113</v>
      </c>
      <c r="B141" s="12" t="s">
        <v>236</v>
      </c>
      <c r="C141" s="12" t="s">
        <v>252</v>
      </c>
      <c r="D141" s="13" t="s">
        <v>253</v>
      </c>
      <c r="E141" s="14">
        <v>7.5</v>
      </c>
      <c r="F141" s="14">
        <v>4.5</v>
      </c>
      <c r="G141" s="15">
        <f>IF(OR(E141=0,F141=0),0,E141*0.5+F141*0.5)</f>
        <v>6</v>
      </c>
      <c r="H141" s="16">
        <v>39257</v>
      </c>
      <c r="I141" s="12" t="s">
        <v>70</v>
      </c>
      <c r="J141" s="12" t="s">
        <v>239</v>
      </c>
      <c r="K141" s="12" t="s">
        <v>20</v>
      </c>
      <c r="L141" s="14">
        <v>10</v>
      </c>
      <c r="M141" s="14">
        <v>8</v>
      </c>
      <c r="N141" s="14">
        <v>9.4</v>
      </c>
      <c r="O141" s="17">
        <f>ROUND(IF(OR(G141=0,L141=0,M141=0,N141=0),0, G141*0.5+L141*0.1+M141*0.2+N141*0.2), 1)</f>
        <v>7.5</v>
      </c>
    </row>
    <row r="142" spans="1:15" ht="15" customHeight="1" x14ac:dyDescent="0.25">
      <c r="A142" s="12">
        <v>245</v>
      </c>
      <c r="B142" s="12" t="s">
        <v>498</v>
      </c>
      <c r="C142" s="12" t="s">
        <v>512</v>
      </c>
      <c r="D142" s="13" t="s">
        <v>513</v>
      </c>
      <c r="E142" s="14">
        <v>7</v>
      </c>
      <c r="F142" s="14">
        <v>6.5</v>
      </c>
      <c r="G142" s="15">
        <f>IF(OR(E142=0,F142=0),0,E142*0.5+F142*0.5)</f>
        <v>6.75</v>
      </c>
      <c r="H142" s="16">
        <v>39387</v>
      </c>
      <c r="I142" s="12" t="s">
        <v>18</v>
      </c>
      <c r="J142" s="12" t="s">
        <v>19</v>
      </c>
      <c r="K142" s="12" t="s">
        <v>20</v>
      </c>
      <c r="L142" s="14">
        <v>10</v>
      </c>
      <c r="M142" s="14">
        <v>7</v>
      </c>
      <c r="N142" s="14">
        <v>8.5</v>
      </c>
      <c r="O142" s="17">
        <f>ROUND(IF(OR(G142=0,L142=0,M142=0,N142=0),0, G142*0.5+L142*0.1+M142*0.2+N142*0.2), 1)</f>
        <v>7.5</v>
      </c>
    </row>
    <row r="143" spans="1:15" ht="15" customHeight="1" x14ac:dyDescent="0.25">
      <c r="A143" s="12">
        <v>67</v>
      </c>
      <c r="B143" s="12" t="s">
        <v>93</v>
      </c>
      <c r="C143" s="12" t="s">
        <v>157</v>
      </c>
      <c r="D143" s="13" t="s">
        <v>158</v>
      </c>
      <c r="E143" s="14">
        <v>8</v>
      </c>
      <c r="F143" s="14">
        <v>4.5</v>
      </c>
      <c r="G143" s="15">
        <f>IF(OR(E143=0,F143=0),0,E143*0.5+F143*0.5)</f>
        <v>6.25</v>
      </c>
      <c r="H143" s="16">
        <v>39379</v>
      </c>
      <c r="I143" s="12" t="s">
        <v>45</v>
      </c>
      <c r="J143" s="12" t="s">
        <v>96</v>
      </c>
      <c r="K143" s="12" t="s">
        <v>20</v>
      </c>
      <c r="L143" s="14">
        <v>10</v>
      </c>
      <c r="M143" s="14">
        <v>8</v>
      </c>
      <c r="N143" s="14">
        <v>9</v>
      </c>
      <c r="O143" s="17">
        <f>ROUND(IF(OR(G143=0,L143=0,M143=0,N143=0),0, G143*0.5+L143*0.1+M143*0.2+N143*0.2), 1)</f>
        <v>7.5</v>
      </c>
    </row>
    <row r="144" spans="1:15" ht="15" customHeight="1" x14ac:dyDescent="0.25">
      <c r="A144" s="12">
        <v>269</v>
      </c>
      <c r="B144" s="12" t="s">
        <v>498</v>
      </c>
      <c r="C144" s="12" t="s">
        <v>560</v>
      </c>
      <c r="D144" s="13" t="s">
        <v>561</v>
      </c>
      <c r="E144" s="14">
        <v>8</v>
      </c>
      <c r="F144" s="14">
        <v>6</v>
      </c>
      <c r="G144" s="15">
        <f>IF(OR(E144=0,F144=0),0,E144*0.5+F144*0.5)</f>
        <v>7</v>
      </c>
      <c r="H144" s="16">
        <v>39186</v>
      </c>
      <c r="I144" s="12" t="s">
        <v>45</v>
      </c>
      <c r="J144" s="12" t="s">
        <v>239</v>
      </c>
      <c r="K144" s="12" t="s">
        <v>20</v>
      </c>
      <c r="L144" s="14">
        <v>8</v>
      </c>
      <c r="M144" s="14">
        <v>7.5</v>
      </c>
      <c r="N144" s="14">
        <v>8.4</v>
      </c>
      <c r="O144" s="17">
        <f>ROUND(IF(OR(G144=0,L144=0,M144=0,N144=0),0, G144*0.5+L144*0.1+M144*0.2+N144*0.2), 1)</f>
        <v>7.5</v>
      </c>
    </row>
    <row r="145" spans="1:15" ht="15" customHeight="1" x14ac:dyDescent="0.25">
      <c r="A145" s="12">
        <v>261</v>
      </c>
      <c r="B145" s="12" t="s">
        <v>498</v>
      </c>
      <c r="C145" s="12" t="s">
        <v>544</v>
      </c>
      <c r="D145" s="13" t="s">
        <v>545</v>
      </c>
      <c r="E145" s="14">
        <v>9</v>
      </c>
      <c r="F145" s="14">
        <v>4.5</v>
      </c>
      <c r="G145" s="15">
        <f>IF(OR(E145=0,F145=0),0,E145*0.5+F145*0.5)</f>
        <v>6.75</v>
      </c>
      <c r="H145" s="16">
        <v>39116</v>
      </c>
      <c r="I145" s="12" t="s">
        <v>18</v>
      </c>
      <c r="J145" s="12" t="s">
        <v>19</v>
      </c>
      <c r="K145" s="12" t="s">
        <v>20</v>
      </c>
      <c r="L145" s="14">
        <v>10</v>
      </c>
      <c r="M145" s="14">
        <v>6</v>
      </c>
      <c r="N145" s="14">
        <v>9.4</v>
      </c>
      <c r="O145" s="17">
        <f>ROUND(IF(OR(G145=0,L145=0,M145=0,N145=0),0, G145*0.5+L145*0.1+M145*0.2+N145*0.2), 1)</f>
        <v>7.5</v>
      </c>
    </row>
    <row r="146" spans="1:15" ht="15" customHeight="1" x14ac:dyDescent="0.25">
      <c r="A146" s="12">
        <v>267</v>
      </c>
      <c r="B146" s="12" t="s">
        <v>498</v>
      </c>
      <c r="C146" s="12" t="s">
        <v>556</v>
      </c>
      <c r="D146" s="13" t="s">
        <v>557</v>
      </c>
      <c r="E146" s="14">
        <v>8</v>
      </c>
      <c r="F146" s="14">
        <v>6</v>
      </c>
      <c r="G146" s="15">
        <f>IF(OR(E146=0,F146=0),0,E146*0.5+F146*0.5)</f>
        <v>7</v>
      </c>
      <c r="H146" s="16">
        <v>39108</v>
      </c>
      <c r="I146" s="12" t="s">
        <v>45</v>
      </c>
      <c r="J146" s="12" t="s">
        <v>375</v>
      </c>
      <c r="K146" s="12" t="s">
        <v>20</v>
      </c>
      <c r="L146" s="14">
        <v>6.5</v>
      </c>
      <c r="M146" s="14">
        <v>7.5</v>
      </c>
      <c r="N146" s="14">
        <v>9.4</v>
      </c>
      <c r="O146" s="17">
        <f>ROUND(IF(OR(G146=0,L146=0,M146=0,N146=0),0, G146*0.5+L146*0.1+M146*0.2+N146*0.2), 1)</f>
        <v>7.5</v>
      </c>
    </row>
    <row r="147" spans="1:15" ht="15" customHeight="1" x14ac:dyDescent="0.25">
      <c r="A147" s="12">
        <v>23</v>
      </c>
      <c r="B147" s="12" t="s">
        <v>15</v>
      </c>
      <c r="C147" s="12" t="s">
        <v>66</v>
      </c>
      <c r="D147" s="13" t="s">
        <v>67</v>
      </c>
      <c r="E147" s="14">
        <v>7</v>
      </c>
      <c r="F147" s="14">
        <v>4.5</v>
      </c>
      <c r="G147" s="15">
        <f>IF(OR(E147=0,F147=0),0,E147*0.5+F147*0.5)</f>
        <v>5.75</v>
      </c>
      <c r="H147" s="16">
        <v>39146</v>
      </c>
      <c r="I147" s="12" t="s">
        <v>45</v>
      </c>
      <c r="J147" s="12" t="s">
        <v>19</v>
      </c>
      <c r="K147" s="12" t="s">
        <v>20</v>
      </c>
      <c r="L147" s="14">
        <v>10</v>
      </c>
      <c r="M147" s="14">
        <v>8.5</v>
      </c>
      <c r="N147" s="14">
        <v>9.5</v>
      </c>
      <c r="O147" s="17">
        <f>ROUND(IF(OR(G147=0,L147=0,M147=0,N147=0),0, G147*0.5+L147*0.1+M147*0.2+N147*0.2), 1)</f>
        <v>7.5</v>
      </c>
    </row>
    <row r="148" spans="1:15" ht="15" customHeight="1" x14ac:dyDescent="0.25">
      <c r="A148" s="12">
        <v>47</v>
      </c>
      <c r="B148" s="12" t="s">
        <v>93</v>
      </c>
      <c r="C148" s="12" t="s">
        <v>117</v>
      </c>
      <c r="D148" s="13" t="s">
        <v>118</v>
      </c>
      <c r="E148" s="14">
        <v>5.5</v>
      </c>
      <c r="F148" s="14">
        <v>8.3000000000000007</v>
      </c>
      <c r="G148" s="15">
        <f>IF(OR(E148=0,F148=0),0,E148*0.5+F148*0.5)</f>
        <v>6.9</v>
      </c>
      <c r="H148" s="16">
        <v>39235</v>
      </c>
      <c r="I148" s="12" t="s">
        <v>45</v>
      </c>
      <c r="J148" s="12" t="s">
        <v>96</v>
      </c>
      <c r="K148" s="12" t="s">
        <v>20</v>
      </c>
      <c r="L148" s="14">
        <v>8</v>
      </c>
      <c r="M148" s="14">
        <v>8.5</v>
      </c>
      <c r="N148" s="14">
        <v>7.7</v>
      </c>
      <c r="O148" s="17">
        <f>ROUND(IF(OR(G148=0,L148=0,M148=0,N148=0),0, G148*0.5+L148*0.1+M148*0.2+N148*0.2), 1)</f>
        <v>7.5</v>
      </c>
    </row>
    <row r="149" spans="1:15" ht="15" customHeight="1" x14ac:dyDescent="0.25">
      <c r="A149" s="12">
        <v>114</v>
      </c>
      <c r="B149" s="12" t="s">
        <v>236</v>
      </c>
      <c r="C149" s="12" t="s">
        <v>254</v>
      </c>
      <c r="D149" s="13" t="s">
        <v>255</v>
      </c>
      <c r="E149" s="14">
        <v>7</v>
      </c>
      <c r="F149" s="14">
        <v>7.8</v>
      </c>
      <c r="G149" s="15">
        <f>IF(OR(E149=0,F149=0),0,E149*0.5+F149*0.5)</f>
        <v>7.4</v>
      </c>
      <c r="H149" s="16">
        <v>39095</v>
      </c>
      <c r="I149" s="12" t="s">
        <v>18</v>
      </c>
      <c r="J149" s="12" t="s">
        <v>239</v>
      </c>
      <c r="K149" s="12" t="s">
        <v>20</v>
      </c>
      <c r="L149" s="14">
        <v>6.5</v>
      </c>
      <c r="M149" s="14">
        <v>8</v>
      </c>
      <c r="N149" s="14">
        <v>7.1</v>
      </c>
      <c r="O149" s="17">
        <f>ROUND(IF(OR(G149=0,L149=0,M149=0,N149=0),0, G149*0.5+L149*0.1+M149*0.2+N149*0.2), 1)</f>
        <v>7.4</v>
      </c>
    </row>
    <row r="150" spans="1:15" ht="15" customHeight="1" x14ac:dyDescent="0.25">
      <c r="A150" s="12">
        <v>78</v>
      </c>
      <c r="B150" s="12" t="s">
        <v>163</v>
      </c>
      <c r="C150" s="12" t="s">
        <v>181</v>
      </c>
      <c r="D150" s="13" t="s">
        <v>182</v>
      </c>
      <c r="E150" s="14">
        <v>7</v>
      </c>
      <c r="F150" s="14">
        <v>5.5</v>
      </c>
      <c r="G150" s="15">
        <f>IF(OR(E150=0,F150=0),0,E150*0.5+F150*0.5)</f>
        <v>6.25</v>
      </c>
      <c r="H150" s="16">
        <v>39153</v>
      </c>
      <c r="I150" s="12" t="s">
        <v>70</v>
      </c>
      <c r="J150" s="12" t="s">
        <v>166</v>
      </c>
      <c r="K150" s="12" t="s">
        <v>20</v>
      </c>
      <c r="L150" s="14">
        <v>10</v>
      </c>
      <c r="M150" s="14">
        <v>7.5</v>
      </c>
      <c r="N150" s="14">
        <v>9</v>
      </c>
      <c r="O150" s="17">
        <f>ROUND(IF(OR(G150=0,L150=0,M150=0,N150=0),0, G150*0.5+L150*0.1+M150*0.2+N150*0.2), 1)</f>
        <v>7.4</v>
      </c>
    </row>
    <row r="151" spans="1:15" ht="15" customHeight="1" x14ac:dyDescent="0.25">
      <c r="A151" s="12">
        <v>169</v>
      </c>
      <c r="B151" s="12" t="s">
        <v>306</v>
      </c>
      <c r="C151" s="12" t="s">
        <v>365</v>
      </c>
      <c r="D151" s="13" t="s">
        <v>366</v>
      </c>
      <c r="E151" s="14">
        <v>5</v>
      </c>
      <c r="F151" s="14">
        <v>8</v>
      </c>
      <c r="G151" s="15">
        <f>IF(OR(E151=0,F151=0),0,E151*0.5+F151*0.5)</f>
        <v>6.5</v>
      </c>
      <c r="H151" s="16">
        <v>39377</v>
      </c>
      <c r="I151" s="12" t="s">
        <v>18</v>
      </c>
      <c r="J151" s="12" t="s">
        <v>309</v>
      </c>
      <c r="K151" s="12" t="s">
        <v>20</v>
      </c>
      <c r="L151" s="14">
        <v>9.5</v>
      </c>
      <c r="M151" s="14">
        <v>8</v>
      </c>
      <c r="N151" s="14">
        <v>8.1999999999999993</v>
      </c>
      <c r="O151" s="17">
        <f>ROUND(IF(OR(G151=0,L151=0,M151=0,N151=0),0, G151*0.5+L151*0.1+M151*0.2+N151*0.2), 1)</f>
        <v>7.4</v>
      </c>
    </row>
    <row r="152" spans="1:15" ht="15" customHeight="1" x14ac:dyDescent="0.25">
      <c r="A152" s="12">
        <v>140</v>
      </c>
      <c r="B152" s="12" t="s">
        <v>236</v>
      </c>
      <c r="C152" s="12" t="s">
        <v>304</v>
      </c>
      <c r="D152" s="13" t="s">
        <v>305</v>
      </c>
      <c r="E152" s="14">
        <v>7</v>
      </c>
      <c r="F152" s="14">
        <v>4.5</v>
      </c>
      <c r="G152" s="15">
        <f>IF(OR(E152=0,F152=0),0,E152*0.5+F152*0.5)</f>
        <v>5.75</v>
      </c>
      <c r="H152" s="16">
        <v>37873</v>
      </c>
      <c r="I152" s="12" t="s">
        <v>23</v>
      </c>
      <c r="J152" s="12" t="s">
        <v>239</v>
      </c>
      <c r="K152" s="12" t="s">
        <v>20</v>
      </c>
      <c r="L152" s="14">
        <v>10</v>
      </c>
      <c r="M152" s="14">
        <v>8</v>
      </c>
      <c r="N152" s="14">
        <v>9.5</v>
      </c>
      <c r="O152" s="17">
        <f>ROUND(IF(OR(G152=0,L152=0,M152=0,N152=0),0, G152*0.5+L152*0.1+M152*0.2+N152*0.2), 1)</f>
        <v>7.4</v>
      </c>
    </row>
    <row r="153" spans="1:15" ht="15" customHeight="1" x14ac:dyDescent="0.25">
      <c r="A153" s="12">
        <v>124</v>
      </c>
      <c r="B153" s="12" t="s">
        <v>236</v>
      </c>
      <c r="C153" s="12" t="s">
        <v>273</v>
      </c>
      <c r="D153" s="13" t="s">
        <v>274</v>
      </c>
      <c r="E153" s="14">
        <v>8</v>
      </c>
      <c r="F153" s="14">
        <v>5.5</v>
      </c>
      <c r="G153" s="15">
        <f>IF(OR(E153=0,F153=0),0,E153*0.5+F153*0.5)</f>
        <v>6.75</v>
      </c>
      <c r="H153" s="16">
        <v>39251</v>
      </c>
      <c r="I153" s="12" t="s">
        <v>70</v>
      </c>
      <c r="J153" s="12" t="s">
        <v>239</v>
      </c>
      <c r="K153" s="12" t="s">
        <v>20</v>
      </c>
      <c r="L153" s="14">
        <v>10</v>
      </c>
      <c r="M153" s="14">
        <v>7.5</v>
      </c>
      <c r="N153" s="14">
        <v>7.8</v>
      </c>
      <c r="O153" s="17">
        <f>ROUND(IF(OR(G153=0,L153=0,M153=0,N153=0),0, G153*0.5+L153*0.1+M153*0.2+N153*0.2), 1)</f>
        <v>7.4</v>
      </c>
    </row>
    <row r="154" spans="1:15" ht="15" customHeight="1" x14ac:dyDescent="0.25">
      <c r="A154" s="12">
        <v>106</v>
      </c>
      <c r="B154" s="12" t="s">
        <v>236</v>
      </c>
      <c r="C154" s="12" t="s">
        <v>237</v>
      </c>
      <c r="D154" s="13" t="s">
        <v>238</v>
      </c>
      <c r="E154" s="14">
        <v>7</v>
      </c>
      <c r="F154" s="14">
        <v>6</v>
      </c>
      <c r="G154" s="15">
        <f>IF(OR(E154=0,F154=0),0,E154*0.5+F154*0.5)</f>
        <v>6.5</v>
      </c>
      <c r="H154" s="16">
        <v>39386</v>
      </c>
      <c r="I154" s="12" t="s">
        <v>23</v>
      </c>
      <c r="J154" s="12" t="s">
        <v>239</v>
      </c>
      <c r="K154" s="12" t="s">
        <v>20</v>
      </c>
      <c r="L154" s="14">
        <v>10</v>
      </c>
      <c r="M154" s="14">
        <v>7</v>
      </c>
      <c r="N154" s="14">
        <v>8.9</v>
      </c>
      <c r="O154" s="17">
        <f>ROUND(IF(OR(G154=0,L154=0,M154=0,N154=0),0, G154*0.5+L154*0.1+M154*0.2+N154*0.2), 1)</f>
        <v>7.4</v>
      </c>
    </row>
    <row r="155" spans="1:15" ht="15" customHeight="1" x14ac:dyDescent="0.25">
      <c r="A155" s="12">
        <v>165</v>
      </c>
      <c r="B155" s="12" t="s">
        <v>306</v>
      </c>
      <c r="C155" s="12" t="s">
        <v>357</v>
      </c>
      <c r="D155" s="13" t="s">
        <v>358</v>
      </c>
      <c r="E155" s="14">
        <v>7.5</v>
      </c>
      <c r="F155" s="14">
        <v>5.5</v>
      </c>
      <c r="G155" s="15">
        <f>IF(OR(E155=0,F155=0),0,E155*0.5+F155*0.5)</f>
        <v>6.5</v>
      </c>
      <c r="H155" s="16">
        <v>39272</v>
      </c>
      <c r="I155" s="12" t="s">
        <v>49</v>
      </c>
      <c r="J155" s="12" t="s">
        <v>309</v>
      </c>
      <c r="K155" s="12" t="s">
        <v>20</v>
      </c>
      <c r="L155" s="14">
        <v>7.5</v>
      </c>
      <c r="M155" s="14">
        <v>8</v>
      </c>
      <c r="N155" s="14">
        <v>9</v>
      </c>
      <c r="O155" s="17">
        <f>ROUND(IF(OR(G155=0,L155=0,M155=0,N155=0),0, G155*0.5+L155*0.1+M155*0.2+N155*0.2), 1)</f>
        <v>7.4</v>
      </c>
    </row>
    <row r="156" spans="1:15" ht="15" customHeight="1" x14ac:dyDescent="0.25">
      <c r="A156" s="12">
        <v>242</v>
      </c>
      <c r="B156" s="12" t="s">
        <v>498</v>
      </c>
      <c r="C156" s="12" t="s">
        <v>506</v>
      </c>
      <c r="D156" s="13" t="s">
        <v>507</v>
      </c>
      <c r="E156" s="14">
        <v>8</v>
      </c>
      <c r="F156" s="14">
        <v>4.5</v>
      </c>
      <c r="G156" s="15">
        <f>IF(OR(E156=0,F156=0),0,E156*0.5+F156*0.5)</f>
        <v>6.25</v>
      </c>
      <c r="H156" s="16">
        <v>39357</v>
      </c>
      <c r="I156" s="12" t="s">
        <v>23</v>
      </c>
      <c r="J156" s="12" t="s">
        <v>239</v>
      </c>
      <c r="K156" s="12" t="s">
        <v>20</v>
      </c>
      <c r="L156" s="14">
        <v>10</v>
      </c>
      <c r="M156" s="14">
        <v>7.5</v>
      </c>
      <c r="N156" s="14">
        <v>8.8000000000000007</v>
      </c>
      <c r="O156" s="17">
        <f>ROUND(IF(OR(G156=0,L156=0,M156=0,N156=0),0, G156*0.5+L156*0.1+M156*0.2+N156*0.2), 1)</f>
        <v>7.4</v>
      </c>
    </row>
    <row r="157" spans="1:15" ht="15" customHeight="1" x14ac:dyDescent="0.25">
      <c r="A157" s="12">
        <v>70</v>
      </c>
      <c r="B157" s="12" t="s">
        <v>163</v>
      </c>
      <c r="C157" s="12" t="s">
        <v>164</v>
      </c>
      <c r="D157" s="13" t="s">
        <v>165</v>
      </c>
      <c r="E157" s="14">
        <v>8</v>
      </c>
      <c r="F157" s="14">
        <v>6</v>
      </c>
      <c r="G157" s="15">
        <f>IF(OR(E157=0,F157=0),0,E157*0.5+F157*0.5)</f>
        <v>7</v>
      </c>
      <c r="H157" s="16">
        <v>39200</v>
      </c>
      <c r="I157" s="12" t="s">
        <v>45</v>
      </c>
      <c r="J157" s="12" t="s">
        <v>166</v>
      </c>
      <c r="K157" s="12" t="s">
        <v>20</v>
      </c>
      <c r="L157" s="14">
        <v>6</v>
      </c>
      <c r="M157" s="14">
        <v>7.5</v>
      </c>
      <c r="N157" s="14">
        <v>9.1</v>
      </c>
      <c r="O157" s="17">
        <f>ROUND(IF(OR(G157=0,L157=0,M157=0,N157=0),0, G157*0.5+L157*0.1+M157*0.2+N157*0.2), 1)</f>
        <v>7.4</v>
      </c>
    </row>
    <row r="158" spans="1:15" ht="15" customHeight="1" x14ac:dyDescent="0.25">
      <c r="A158" s="12">
        <v>221</v>
      </c>
      <c r="B158" s="12" t="s">
        <v>437</v>
      </c>
      <c r="C158" s="12" t="s">
        <v>464</v>
      </c>
      <c r="D158" s="13" t="s">
        <v>465</v>
      </c>
      <c r="E158" s="14">
        <v>7.5</v>
      </c>
      <c r="F158" s="14">
        <v>6</v>
      </c>
      <c r="G158" s="15">
        <f>IF(OR(E158=0,F158=0),0,E158*0.5+F158*0.5)</f>
        <v>6.75</v>
      </c>
      <c r="H158" s="16">
        <v>39159</v>
      </c>
      <c r="I158" s="12" t="s">
        <v>49</v>
      </c>
      <c r="J158" s="12" t="s">
        <v>166</v>
      </c>
      <c r="K158" s="12" t="s">
        <v>20</v>
      </c>
      <c r="L158" s="14">
        <v>7</v>
      </c>
      <c r="M158" s="14">
        <v>7</v>
      </c>
      <c r="N158" s="14">
        <v>9.5</v>
      </c>
      <c r="O158" s="17">
        <f>ROUND(IF(OR(G158=0,L158=0,M158=0,N158=0),0, G158*0.5+L158*0.1+M158*0.2+N158*0.2), 1)</f>
        <v>7.4</v>
      </c>
    </row>
    <row r="159" spans="1:15" ht="15" customHeight="1" x14ac:dyDescent="0.25">
      <c r="A159" s="12">
        <v>176</v>
      </c>
      <c r="B159" s="12" t="s">
        <v>373</v>
      </c>
      <c r="C159" s="12" t="s">
        <v>378</v>
      </c>
      <c r="D159" s="13" t="s">
        <v>632</v>
      </c>
      <c r="E159" s="14">
        <v>9</v>
      </c>
      <c r="F159" s="14">
        <v>4.5</v>
      </c>
      <c r="G159" s="15">
        <f>IF(OR(E159=0,F159=0),0,E159*0.5+F159*0.5)</f>
        <v>6.75</v>
      </c>
      <c r="H159" s="16">
        <v>39262</v>
      </c>
      <c r="I159" s="12" t="s">
        <v>49</v>
      </c>
      <c r="J159" s="12" t="s">
        <v>375</v>
      </c>
      <c r="K159" s="12" t="s">
        <v>20</v>
      </c>
      <c r="L159" s="14">
        <v>6.5</v>
      </c>
      <c r="M159" s="14">
        <v>8</v>
      </c>
      <c r="N159" s="14">
        <v>8.6999999999999993</v>
      </c>
      <c r="O159" s="17">
        <f>ROUND(IF(OR(G159=0,L159=0,M159=0,N159=0),0, G159*0.5+L159*0.1+M159*0.2+N159*0.2), 1)</f>
        <v>7.4</v>
      </c>
    </row>
    <row r="160" spans="1:15" ht="15" customHeight="1" x14ac:dyDescent="0.25">
      <c r="A160" s="12">
        <v>137</v>
      </c>
      <c r="B160" s="12" t="s">
        <v>236</v>
      </c>
      <c r="C160" s="12" t="s">
        <v>298</v>
      </c>
      <c r="D160" s="13" t="s">
        <v>299</v>
      </c>
      <c r="E160" s="14">
        <v>5</v>
      </c>
      <c r="F160" s="14">
        <v>6.5</v>
      </c>
      <c r="G160" s="15">
        <f>IF(OR(E160=0,F160=0),0,E160*0.5+F160*0.5)</f>
        <v>5.75</v>
      </c>
      <c r="H160" s="16">
        <v>39083</v>
      </c>
      <c r="I160" s="12" t="s">
        <v>45</v>
      </c>
      <c r="J160" s="12" t="s">
        <v>239</v>
      </c>
      <c r="K160" s="12" t="s">
        <v>20</v>
      </c>
      <c r="L160" s="14">
        <v>10</v>
      </c>
      <c r="M160" s="14">
        <v>8</v>
      </c>
      <c r="N160" s="14">
        <v>9</v>
      </c>
      <c r="O160" s="17">
        <f>ROUND(IF(OR(G160=0,L160=0,M160=0,N160=0),0, G160*0.5+L160*0.1+M160*0.2+N160*0.2), 1)</f>
        <v>7.3</v>
      </c>
    </row>
    <row r="161" spans="1:15" ht="15" customHeight="1" x14ac:dyDescent="0.25">
      <c r="A161" s="12">
        <v>127</v>
      </c>
      <c r="B161" s="12" t="s">
        <v>236</v>
      </c>
      <c r="C161" s="12" t="s">
        <v>279</v>
      </c>
      <c r="D161" s="13" t="s">
        <v>280</v>
      </c>
      <c r="E161" s="14">
        <v>8</v>
      </c>
      <c r="F161" s="14">
        <v>4.5</v>
      </c>
      <c r="G161" s="15">
        <f>IF(OR(E161=0,F161=0),0,E161*0.5+F161*0.5)</f>
        <v>6.25</v>
      </c>
      <c r="H161" s="16">
        <v>39267</v>
      </c>
      <c r="I161" s="12" t="s">
        <v>23</v>
      </c>
      <c r="J161" s="12" t="s">
        <v>239</v>
      </c>
      <c r="K161" s="12" t="s">
        <v>20</v>
      </c>
      <c r="L161" s="14">
        <v>10</v>
      </c>
      <c r="M161" s="14">
        <v>7</v>
      </c>
      <c r="N161" s="14">
        <v>8.6999999999999993</v>
      </c>
      <c r="O161" s="17">
        <f>ROUND(IF(OR(G161=0,L161=0,M161=0,N161=0),0, G161*0.5+L161*0.1+M161*0.2+N161*0.2), 1)</f>
        <v>7.3</v>
      </c>
    </row>
    <row r="162" spans="1:15" ht="15" customHeight="1" x14ac:dyDescent="0.25">
      <c r="A162" s="12">
        <v>72</v>
      </c>
      <c r="B162" s="12" t="s">
        <v>163</v>
      </c>
      <c r="C162" s="12" t="s">
        <v>169</v>
      </c>
      <c r="D162" s="13" t="s">
        <v>170</v>
      </c>
      <c r="E162" s="14">
        <v>6.5</v>
      </c>
      <c r="F162" s="14">
        <v>4.5</v>
      </c>
      <c r="G162" s="15">
        <f>IF(OR(E162=0,F162=0),0,E162*0.5+F162*0.5)</f>
        <v>5.5</v>
      </c>
      <c r="H162" s="16">
        <v>39394</v>
      </c>
      <c r="I162" s="12" t="s">
        <v>49</v>
      </c>
      <c r="J162" s="12" t="s">
        <v>166</v>
      </c>
      <c r="K162" s="12" t="s">
        <v>20</v>
      </c>
      <c r="L162" s="14">
        <v>10</v>
      </c>
      <c r="M162" s="14">
        <v>8</v>
      </c>
      <c r="N162" s="14">
        <v>9.5</v>
      </c>
      <c r="O162" s="17">
        <f>ROUND(IF(OR(G162=0,L162=0,M162=0,N162=0),0, G162*0.5+L162*0.1+M162*0.2+N162*0.2), 1)</f>
        <v>7.3</v>
      </c>
    </row>
    <row r="163" spans="1:15" ht="15" customHeight="1" x14ac:dyDescent="0.25">
      <c r="A163" s="12">
        <v>38</v>
      </c>
      <c r="B163" s="12" t="s">
        <v>93</v>
      </c>
      <c r="C163" s="12" t="s">
        <v>99</v>
      </c>
      <c r="D163" s="13" t="s">
        <v>100</v>
      </c>
      <c r="E163" s="14">
        <v>7.5</v>
      </c>
      <c r="F163" s="14">
        <v>4.5</v>
      </c>
      <c r="G163" s="15">
        <f>IF(OR(E163=0,F163=0),0,E163*0.5+F163*0.5)</f>
        <v>6</v>
      </c>
      <c r="H163" s="16">
        <v>39439</v>
      </c>
      <c r="I163" s="12" t="s">
        <v>49</v>
      </c>
      <c r="J163" s="12" t="s">
        <v>96</v>
      </c>
      <c r="K163" s="12" t="s">
        <v>20</v>
      </c>
      <c r="L163" s="14">
        <v>10</v>
      </c>
      <c r="M163" s="14">
        <v>7.5</v>
      </c>
      <c r="N163" s="14">
        <v>8.9</v>
      </c>
      <c r="O163" s="17">
        <f>ROUND(IF(OR(G163=0,L163=0,M163=0,N163=0),0, G163*0.5+L163*0.1+M163*0.2+N163*0.2), 1)</f>
        <v>7.3</v>
      </c>
    </row>
    <row r="164" spans="1:15" ht="15" customHeight="1" x14ac:dyDescent="0.25">
      <c r="A164" s="12">
        <v>150</v>
      </c>
      <c r="B164" s="12" t="s">
        <v>306</v>
      </c>
      <c r="C164" s="12" t="s">
        <v>326</v>
      </c>
      <c r="D164" s="13" t="s">
        <v>327</v>
      </c>
      <c r="E164" s="14">
        <v>8</v>
      </c>
      <c r="F164" s="14">
        <v>4.5</v>
      </c>
      <c r="G164" s="15">
        <f>IF(OR(E164=0,F164=0),0,E164*0.5+F164*0.5)</f>
        <v>6.25</v>
      </c>
      <c r="H164" s="16">
        <v>39146</v>
      </c>
      <c r="I164" s="12" t="s">
        <v>28</v>
      </c>
      <c r="J164" s="12" t="s">
        <v>309</v>
      </c>
      <c r="K164" s="12" t="s">
        <v>20</v>
      </c>
      <c r="L164" s="14">
        <v>9.5</v>
      </c>
      <c r="M164" s="14">
        <v>7</v>
      </c>
      <c r="N164" s="14">
        <v>9.1999999999999993</v>
      </c>
      <c r="O164" s="17">
        <f>ROUND(IF(OR(G164=0,L164=0,M164=0,N164=0),0, G164*0.5+L164*0.1+M164*0.2+N164*0.2), 1)</f>
        <v>7.3</v>
      </c>
    </row>
    <row r="165" spans="1:15" ht="15" customHeight="1" x14ac:dyDescent="0.25">
      <c r="A165" s="12">
        <v>129</v>
      </c>
      <c r="B165" s="12" t="s">
        <v>236</v>
      </c>
      <c r="C165" s="12" t="s">
        <v>283</v>
      </c>
      <c r="D165" s="13" t="s">
        <v>284</v>
      </c>
      <c r="E165" s="14">
        <v>6.5</v>
      </c>
      <c r="F165" s="14">
        <v>4.5</v>
      </c>
      <c r="G165" s="15">
        <f>IF(OR(E165=0,F165=0),0,E165*0.5+F165*0.5)</f>
        <v>5.5</v>
      </c>
      <c r="H165" s="16">
        <v>39268</v>
      </c>
      <c r="I165" s="12" t="s">
        <v>45</v>
      </c>
      <c r="J165" s="12" t="s">
        <v>239</v>
      </c>
      <c r="K165" s="12" t="s">
        <v>20</v>
      </c>
      <c r="L165" s="14">
        <v>9.5</v>
      </c>
      <c r="M165" s="14">
        <v>8</v>
      </c>
      <c r="N165" s="14">
        <v>10</v>
      </c>
      <c r="O165" s="17">
        <f>ROUND(IF(OR(G165=0,L165=0,M165=0,N165=0),0, G165*0.5+L165*0.1+M165*0.2+N165*0.2), 1)</f>
        <v>7.3</v>
      </c>
    </row>
    <row r="166" spans="1:15" ht="15" customHeight="1" x14ac:dyDescent="0.25">
      <c r="A166" s="12">
        <v>5</v>
      </c>
      <c r="B166" s="12" t="s">
        <v>15</v>
      </c>
      <c r="C166" s="18" t="s">
        <v>29</v>
      </c>
      <c r="D166" s="19" t="s">
        <v>30</v>
      </c>
      <c r="E166" s="20">
        <v>6</v>
      </c>
      <c r="F166" s="20">
        <v>7.5</v>
      </c>
      <c r="G166" s="21">
        <f>IF(OR(E166=0,F166=0),0,E166*0.5+F166*0.5)</f>
        <v>6.75</v>
      </c>
      <c r="H166" s="22">
        <v>39392</v>
      </c>
      <c r="I166" s="18" t="s">
        <v>18</v>
      </c>
      <c r="J166" s="18" t="s">
        <v>19</v>
      </c>
      <c r="K166" s="18" t="s">
        <v>20</v>
      </c>
      <c r="L166" s="14">
        <v>9</v>
      </c>
      <c r="M166" s="14">
        <v>8.5</v>
      </c>
      <c r="N166" s="14">
        <v>6.7</v>
      </c>
      <c r="O166" s="17">
        <f>ROUND(IF(OR(G166=0,L166=0,M166=0,N166=0),0, G166*0.5+L166*0.1+M166*0.2+N166*0.2), 1)</f>
        <v>7.3</v>
      </c>
    </row>
    <row r="167" spans="1:15" ht="15" customHeight="1" x14ac:dyDescent="0.25">
      <c r="A167" s="12">
        <v>42</v>
      </c>
      <c r="B167" s="12" t="s">
        <v>93</v>
      </c>
      <c r="C167" s="12" t="s">
        <v>107</v>
      </c>
      <c r="D167" s="13" t="s">
        <v>108</v>
      </c>
      <c r="E167" s="14">
        <v>7</v>
      </c>
      <c r="F167" s="14">
        <v>4.5</v>
      </c>
      <c r="G167" s="15">
        <f>IF(OR(E167=0,F167=0),0,E167*0.5+F167*0.5)</f>
        <v>5.75</v>
      </c>
      <c r="H167" s="16">
        <v>39408</v>
      </c>
      <c r="I167" s="12" t="s">
        <v>45</v>
      </c>
      <c r="J167" s="12" t="s">
        <v>96</v>
      </c>
      <c r="K167" s="12" t="s">
        <v>20</v>
      </c>
      <c r="L167" s="14">
        <v>10</v>
      </c>
      <c r="M167" s="14">
        <v>8</v>
      </c>
      <c r="N167" s="14">
        <v>9.1999999999999993</v>
      </c>
      <c r="O167" s="17">
        <f>ROUND(IF(OR(G167=0,L167=0,M167=0,N167=0),0, G167*0.5+L167*0.1+M167*0.2+N167*0.2), 1)</f>
        <v>7.3</v>
      </c>
    </row>
    <row r="168" spans="1:15" ht="15" customHeight="1" x14ac:dyDescent="0.25">
      <c r="A168" s="12">
        <v>268</v>
      </c>
      <c r="B168" s="12" t="s">
        <v>498</v>
      </c>
      <c r="C168" s="12" t="s">
        <v>558</v>
      </c>
      <c r="D168" s="13" t="s">
        <v>559</v>
      </c>
      <c r="E168" s="14">
        <v>5</v>
      </c>
      <c r="F168" s="14">
        <v>6</v>
      </c>
      <c r="G168" s="15">
        <f>IF(OR(E168=0,F168=0),0,E168*0.5+F168*0.5)</f>
        <v>5.5</v>
      </c>
      <c r="H168" s="16">
        <v>39422</v>
      </c>
      <c r="I168" s="12" t="s">
        <v>18</v>
      </c>
      <c r="J168" s="12" t="s">
        <v>375</v>
      </c>
      <c r="K168" s="12" t="s">
        <v>20</v>
      </c>
      <c r="L168" s="14">
        <v>9</v>
      </c>
      <c r="M168" s="14">
        <v>8.5</v>
      </c>
      <c r="N168" s="14">
        <v>9.5</v>
      </c>
      <c r="O168" s="17">
        <f>ROUND(IF(OR(G168=0,L168=0,M168=0,N168=0),0, G168*0.5+L168*0.1+M168*0.2+N168*0.2), 1)</f>
        <v>7.3</v>
      </c>
    </row>
    <row r="169" spans="1:15" ht="15" customHeight="1" x14ac:dyDescent="0.25">
      <c r="A169" s="12">
        <v>234</v>
      </c>
      <c r="B169" s="12" t="s">
        <v>437</v>
      </c>
      <c r="C169" s="12" t="s">
        <v>490</v>
      </c>
      <c r="D169" s="13" t="s">
        <v>491</v>
      </c>
      <c r="E169" s="14">
        <v>6</v>
      </c>
      <c r="F169" s="14">
        <v>6</v>
      </c>
      <c r="G169" s="15">
        <f>IF(OR(E169=0,F169=0),0,E169*0.5+F169*0.5)</f>
        <v>6</v>
      </c>
      <c r="H169" s="16">
        <v>39326</v>
      </c>
      <c r="I169" s="12" t="s">
        <v>49</v>
      </c>
      <c r="J169" s="12" t="s">
        <v>166</v>
      </c>
      <c r="K169" s="12" t="s">
        <v>20</v>
      </c>
      <c r="L169" s="14">
        <v>10</v>
      </c>
      <c r="M169" s="14">
        <v>8</v>
      </c>
      <c r="N169" s="14">
        <v>8.6999999999999993</v>
      </c>
      <c r="O169" s="17">
        <f>ROUND(IF(OR(G169=0,L169=0,M169=0,N169=0),0, G169*0.5+L169*0.1+M169*0.2+N169*0.2), 1)</f>
        <v>7.3</v>
      </c>
    </row>
    <row r="170" spans="1:15" ht="15" customHeight="1" x14ac:dyDescent="0.25">
      <c r="A170" s="12">
        <v>171</v>
      </c>
      <c r="B170" s="12" t="s">
        <v>306</v>
      </c>
      <c r="C170" s="12" t="s">
        <v>369</v>
      </c>
      <c r="D170" s="13" t="s">
        <v>370</v>
      </c>
      <c r="E170" s="14">
        <v>8</v>
      </c>
      <c r="F170" s="14">
        <v>2.5</v>
      </c>
      <c r="G170" s="15">
        <f>IF(OR(E170=0,F170=0),0,E170*0.5+F170*0.5)</f>
        <v>5.25</v>
      </c>
      <c r="H170" s="16">
        <v>39274</v>
      </c>
      <c r="I170" s="12" t="s">
        <v>49</v>
      </c>
      <c r="J170" s="12" t="s">
        <v>309</v>
      </c>
      <c r="K170" s="12" t="s">
        <v>20</v>
      </c>
      <c r="L170" s="14">
        <v>10</v>
      </c>
      <c r="M170" s="14">
        <v>9</v>
      </c>
      <c r="N170" s="14">
        <v>9.5</v>
      </c>
      <c r="O170" s="17">
        <f>ROUND(IF(OR(G170=0,L170=0,M170=0,N170=0),0, G170*0.5+L170*0.1+M170*0.2+N170*0.2), 1)</f>
        <v>7.3</v>
      </c>
    </row>
    <row r="171" spans="1:15" ht="15" customHeight="1" x14ac:dyDescent="0.25">
      <c r="A171" s="12">
        <v>177</v>
      </c>
      <c r="B171" s="12" t="s">
        <v>373</v>
      </c>
      <c r="C171" s="12" t="s">
        <v>379</v>
      </c>
      <c r="D171" s="13" t="s">
        <v>629</v>
      </c>
      <c r="E171" s="14">
        <v>7.5</v>
      </c>
      <c r="F171" s="14">
        <v>7.5</v>
      </c>
      <c r="G171" s="15">
        <f>IF(OR(E171=0,F171=0),0,E171*0.5+F171*0.5)</f>
        <v>7.5</v>
      </c>
      <c r="H171" s="16">
        <v>39218</v>
      </c>
      <c r="I171" s="12" t="s">
        <v>49</v>
      </c>
      <c r="J171" s="12" t="s">
        <v>375</v>
      </c>
      <c r="K171" s="12" t="s">
        <v>20</v>
      </c>
      <c r="L171" s="14">
        <v>5.5</v>
      </c>
      <c r="M171" s="14">
        <v>8</v>
      </c>
      <c r="N171" s="14">
        <v>7</v>
      </c>
      <c r="O171" s="17">
        <f>ROUND(IF(OR(G171=0,L171=0,M171=0,N171=0),0, G171*0.5+L171*0.1+M171*0.2+N171*0.2), 1)</f>
        <v>7.3</v>
      </c>
    </row>
    <row r="172" spans="1:15" ht="15" customHeight="1" x14ac:dyDescent="0.25">
      <c r="A172" s="12">
        <v>22</v>
      </c>
      <c r="B172" s="12" t="s">
        <v>15</v>
      </c>
      <c r="C172" s="12" t="s">
        <v>64</v>
      </c>
      <c r="D172" s="13" t="s">
        <v>65</v>
      </c>
      <c r="E172" s="14">
        <v>6</v>
      </c>
      <c r="F172" s="14">
        <v>4.5</v>
      </c>
      <c r="G172" s="15">
        <f>IF(OR(E172=0,F172=0),0,E172*0.5+F172*0.5)</f>
        <v>5.25</v>
      </c>
      <c r="H172" s="16">
        <v>39246</v>
      </c>
      <c r="I172" s="12" t="s">
        <v>49</v>
      </c>
      <c r="J172" s="12" t="s">
        <v>19</v>
      </c>
      <c r="K172" s="12" t="s">
        <v>20</v>
      </c>
      <c r="L172" s="14">
        <v>10</v>
      </c>
      <c r="M172" s="14">
        <v>8.5</v>
      </c>
      <c r="N172" s="14">
        <v>9.5</v>
      </c>
      <c r="O172" s="17">
        <f>ROUND(IF(OR(G172=0,L172=0,M172=0,N172=0),0, G172*0.5+L172*0.1+M172*0.2+N172*0.2), 1)</f>
        <v>7.2</v>
      </c>
    </row>
    <row r="173" spans="1:15" ht="15" customHeight="1" x14ac:dyDescent="0.25">
      <c r="A173" s="12">
        <v>79</v>
      </c>
      <c r="B173" s="12" t="s">
        <v>163</v>
      </c>
      <c r="C173" s="12" t="s">
        <v>183</v>
      </c>
      <c r="D173" s="13" t="s">
        <v>182</v>
      </c>
      <c r="E173" s="14">
        <v>6</v>
      </c>
      <c r="F173" s="14">
        <v>5.5</v>
      </c>
      <c r="G173" s="15">
        <f>IF(OR(E173=0,F173=0),0,E173*0.5+F173*0.5)</f>
        <v>5.75</v>
      </c>
      <c r="H173" s="16">
        <v>39315</v>
      </c>
      <c r="I173" s="12" t="s">
        <v>18</v>
      </c>
      <c r="J173" s="12" t="s">
        <v>166</v>
      </c>
      <c r="K173" s="12" t="s">
        <v>20</v>
      </c>
      <c r="L173" s="14">
        <v>9</v>
      </c>
      <c r="M173" s="14">
        <v>7.5</v>
      </c>
      <c r="N173" s="14">
        <v>9.5</v>
      </c>
      <c r="O173" s="17">
        <f>ROUND(IF(OR(G173=0,L173=0,M173=0,N173=0),0, G173*0.5+L173*0.1+M173*0.2+N173*0.2), 1)</f>
        <v>7.2</v>
      </c>
    </row>
    <row r="174" spans="1:15" ht="15" customHeight="1" x14ac:dyDescent="0.25">
      <c r="A174" s="12">
        <v>20</v>
      </c>
      <c r="B174" s="12" t="s">
        <v>15</v>
      </c>
      <c r="C174" s="12" t="s">
        <v>60</v>
      </c>
      <c r="D174" s="13" t="s">
        <v>61</v>
      </c>
      <c r="E174" s="14">
        <v>6</v>
      </c>
      <c r="F174" s="14">
        <v>6</v>
      </c>
      <c r="G174" s="15">
        <f>IF(OR(E174=0,F174=0),0,E174*0.5+F174*0.5)</f>
        <v>6</v>
      </c>
      <c r="H174" s="16">
        <v>39228</v>
      </c>
      <c r="I174" s="12" t="s">
        <v>49</v>
      </c>
      <c r="J174" s="12" t="s">
        <v>19</v>
      </c>
      <c r="K174" s="12" t="s">
        <v>20</v>
      </c>
      <c r="L174" s="14">
        <v>9</v>
      </c>
      <c r="M174" s="14">
        <v>8</v>
      </c>
      <c r="N174" s="14">
        <v>8.6999999999999993</v>
      </c>
      <c r="O174" s="17">
        <f>ROUND(IF(OR(G174=0,L174=0,M174=0,N174=0),0, G174*0.5+L174*0.1+M174*0.2+N174*0.2), 1)</f>
        <v>7.2</v>
      </c>
    </row>
    <row r="175" spans="1:15" ht="15" customHeight="1" x14ac:dyDescent="0.25">
      <c r="A175" s="12">
        <v>110</v>
      </c>
      <c r="B175" s="12" t="s">
        <v>236</v>
      </c>
      <c r="C175" s="12" t="s">
        <v>246</v>
      </c>
      <c r="D175" s="13" t="s">
        <v>247</v>
      </c>
      <c r="E175" s="14">
        <v>8</v>
      </c>
      <c r="F175" s="14">
        <v>6</v>
      </c>
      <c r="G175" s="15">
        <f>IF(OR(E175=0,F175=0),0,E175*0.5+F175*0.5)</f>
        <v>7</v>
      </c>
      <c r="H175" s="16">
        <v>39143</v>
      </c>
      <c r="I175" s="12" t="s">
        <v>18</v>
      </c>
      <c r="J175" s="12" t="s">
        <v>239</v>
      </c>
      <c r="K175" s="12" t="s">
        <v>20</v>
      </c>
      <c r="L175" s="14">
        <v>4.5</v>
      </c>
      <c r="M175" s="14">
        <v>7</v>
      </c>
      <c r="N175" s="14">
        <v>9</v>
      </c>
      <c r="O175" s="17">
        <f>ROUND(IF(OR(G175=0,L175=0,M175=0,N175=0),0, G175*0.5+L175*0.1+M175*0.2+N175*0.2), 1)</f>
        <v>7.2</v>
      </c>
    </row>
    <row r="176" spans="1:15" ht="15" customHeight="1" x14ac:dyDescent="0.25">
      <c r="A176" s="12">
        <v>128</v>
      </c>
      <c r="B176" s="12" t="s">
        <v>236</v>
      </c>
      <c r="C176" s="12" t="s">
        <v>281</v>
      </c>
      <c r="D176" s="13" t="s">
        <v>282</v>
      </c>
      <c r="E176" s="14">
        <v>5.5</v>
      </c>
      <c r="F176" s="14">
        <v>6</v>
      </c>
      <c r="G176" s="15">
        <f>IF(OR(E176=0,F176=0),0,E176*0.5+F176*0.5)</f>
        <v>5.75</v>
      </c>
      <c r="H176" s="16">
        <v>39440</v>
      </c>
      <c r="I176" s="12" t="s">
        <v>28</v>
      </c>
      <c r="J176" s="12" t="s">
        <v>239</v>
      </c>
      <c r="K176" s="12" t="s">
        <v>20</v>
      </c>
      <c r="L176" s="14">
        <v>10</v>
      </c>
      <c r="M176" s="14">
        <v>8</v>
      </c>
      <c r="N176" s="14">
        <v>8.6</v>
      </c>
      <c r="O176" s="17">
        <f>ROUND(IF(OR(G176=0,L176=0,M176=0,N176=0),0, G176*0.5+L176*0.1+M176*0.2+N176*0.2), 1)</f>
        <v>7.2</v>
      </c>
    </row>
    <row r="177" spans="1:15" ht="15" customHeight="1" x14ac:dyDescent="0.25">
      <c r="A177" s="12">
        <v>75</v>
      </c>
      <c r="B177" s="12" t="s">
        <v>163</v>
      </c>
      <c r="C177" s="12" t="s">
        <v>175</v>
      </c>
      <c r="D177" s="13" t="s">
        <v>176</v>
      </c>
      <c r="E177" s="14">
        <v>6</v>
      </c>
      <c r="F177" s="14">
        <v>4.5</v>
      </c>
      <c r="G177" s="15">
        <f>IF(OR(E177=0,F177=0),0,E177*0.5+F177*0.5)</f>
        <v>5.25</v>
      </c>
      <c r="H177" s="16">
        <v>39089</v>
      </c>
      <c r="I177" s="12" t="s">
        <v>28</v>
      </c>
      <c r="J177" s="12" t="s">
        <v>166</v>
      </c>
      <c r="K177" s="12" t="s">
        <v>20</v>
      </c>
      <c r="L177" s="14">
        <v>10</v>
      </c>
      <c r="M177" s="14">
        <v>8.5</v>
      </c>
      <c r="N177" s="14">
        <v>9.5</v>
      </c>
      <c r="O177" s="17">
        <f>ROUND(IF(OR(G177=0,L177=0,M177=0,N177=0),0, G177*0.5+L177*0.1+M177*0.2+N177*0.2), 1)</f>
        <v>7.2</v>
      </c>
    </row>
    <row r="178" spans="1:15" ht="15" customHeight="1" x14ac:dyDescent="0.25">
      <c r="A178" s="12">
        <v>7</v>
      </c>
      <c r="B178" s="12" t="s">
        <v>15</v>
      </c>
      <c r="C178" s="12" t="s">
        <v>33</v>
      </c>
      <c r="D178" s="13" t="s">
        <v>34</v>
      </c>
      <c r="E178" s="14">
        <v>4.5</v>
      </c>
      <c r="F178" s="14">
        <v>7.5</v>
      </c>
      <c r="G178" s="15">
        <f>IF(OR(E178=0,F178=0),0,E178*0.5+F178*0.5)</f>
        <v>6</v>
      </c>
      <c r="H178" s="16">
        <v>39414</v>
      </c>
      <c r="I178" s="12" t="s">
        <v>28</v>
      </c>
      <c r="J178" s="12" t="s">
        <v>19</v>
      </c>
      <c r="K178" s="12" t="s">
        <v>20</v>
      </c>
      <c r="L178" s="14">
        <v>8</v>
      </c>
      <c r="M178" s="14">
        <v>8</v>
      </c>
      <c r="N178" s="14">
        <v>9.1999999999999993</v>
      </c>
      <c r="O178" s="17">
        <f>ROUND(IF(OR(G178=0,L178=0,M178=0,N178=0),0, G178*0.5+L178*0.1+M178*0.2+N178*0.2), 1)</f>
        <v>7.2</v>
      </c>
    </row>
    <row r="179" spans="1:15" ht="15" customHeight="1" x14ac:dyDescent="0.25">
      <c r="A179" s="12">
        <v>65</v>
      </c>
      <c r="B179" s="12" t="s">
        <v>93</v>
      </c>
      <c r="C179" s="12" t="s">
        <v>153</v>
      </c>
      <c r="D179" s="13" t="s">
        <v>154</v>
      </c>
      <c r="E179" s="14">
        <v>5</v>
      </c>
      <c r="F179" s="14">
        <v>6</v>
      </c>
      <c r="G179" s="15">
        <f>IF(OR(E179=0,F179=0),0,E179*0.5+F179*0.5)</f>
        <v>5.5</v>
      </c>
      <c r="H179" s="16">
        <v>39348</v>
      </c>
      <c r="I179" s="12" t="s">
        <v>49</v>
      </c>
      <c r="J179" s="12" t="s">
        <v>96</v>
      </c>
      <c r="K179" s="12" t="s">
        <v>20</v>
      </c>
      <c r="L179" s="14">
        <v>10</v>
      </c>
      <c r="M179" s="14">
        <v>8.5</v>
      </c>
      <c r="N179" s="14">
        <v>8.6999999999999993</v>
      </c>
      <c r="O179" s="17">
        <f>ROUND(IF(OR(G179=0,L179=0,M179=0,N179=0),0, G179*0.5+L179*0.1+M179*0.2+N179*0.2), 1)</f>
        <v>7.2</v>
      </c>
    </row>
    <row r="180" spans="1:15" ht="15" customHeight="1" x14ac:dyDescent="0.25">
      <c r="A180" s="12">
        <v>216</v>
      </c>
      <c r="B180" s="12" t="s">
        <v>437</v>
      </c>
      <c r="C180" s="12" t="s">
        <v>454</v>
      </c>
      <c r="D180" s="13" t="s">
        <v>455</v>
      </c>
      <c r="E180" s="14">
        <v>6.5</v>
      </c>
      <c r="F180" s="14">
        <v>4.5</v>
      </c>
      <c r="G180" s="15">
        <f>IF(OR(E180=0,F180=0),0,E180*0.5+F180*0.5)</f>
        <v>5.5</v>
      </c>
      <c r="H180" s="16">
        <v>39418</v>
      </c>
      <c r="I180" s="12" t="s">
        <v>45</v>
      </c>
      <c r="J180" s="12" t="s">
        <v>166</v>
      </c>
      <c r="K180" s="12" t="s">
        <v>20</v>
      </c>
      <c r="L180" s="14">
        <v>8</v>
      </c>
      <c r="M180" s="14">
        <v>8.5</v>
      </c>
      <c r="N180" s="14">
        <v>9.5</v>
      </c>
      <c r="O180" s="17">
        <f>ROUND(IF(OR(G180=0,L180=0,M180=0,N180=0),0, G180*0.5+L180*0.1+M180*0.2+N180*0.2), 1)</f>
        <v>7.2</v>
      </c>
    </row>
    <row r="181" spans="1:15" ht="15" customHeight="1" x14ac:dyDescent="0.25">
      <c r="A181" s="12">
        <v>212</v>
      </c>
      <c r="B181" s="12" t="s">
        <v>437</v>
      </c>
      <c r="C181" s="12" t="s">
        <v>446</v>
      </c>
      <c r="D181" s="13" t="s">
        <v>447</v>
      </c>
      <c r="E181" s="14">
        <v>7</v>
      </c>
      <c r="F181" s="14">
        <v>4.5</v>
      </c>
      <c r="G181" s="15">
        <f>IF(OR(E181=0,F181=0),0,E181*0.5+F181*0.5)</f>
        <v>5.75</v>
      </c>
      <c r="H181" s="16">
        <v>39093</v>
      </c>
      <c r="I181" s="12" t="s">
        <v>28</v>
      </c>
      <c r="J181" s="12" t="s">
        <v>96</v>
      </c>
      <c r="K181" s="12" t="s">
        <v>20</v>
      </c>
      <c r="L181" s="14">
        <v>10</v>
      </c>
      <c r="M181" s="14">
        <v>7.5</v>
      </c>
      <c r="N181" s="14">
        <v>9</v>
      </c>
      <c r="O181" s="17">
        <f>ROUND(IF(OR(G181=0,L181=0,M181=0,N181=0),0, G181*0.5+L181*0.1+M181*0.2+N181*0.2), 1)</f>
        <v>7.2</v>
      </c>
    </row>
    <row r="182" spans="1:15" ht="15" customHeight="1" x14ac:dyDescent="0.25">
      <c r="A182" s="12">
        <v>71</v>
      </c>
      <c r="B182" s="12" t="s">
        <v>163</v>
      </c>
      <c r="C182" s="12" t="s">
        <v>167</v>
      </c>
      <c r="D182" s="13" t="s">
        <v>168</v>
      </c>
      <c r="E182" s="14">
        <v>7</v>
      </c>
      <c r="F182" s="14">
        <v>4.5</v>
      </c>
      <c r="G182" s="15">
        <f>IF(OR(E182=0,F182=0),0,E182*0.5+F182*0.5)</f>
        <v>5.75</v>
      </c>
      <c r="H182" s="16">
        <v>39098</v>
      </c>
      <c r="I182" s="12" t="s">
        <v>18</v>
      </c>
      <c r="J182" s="12" t="s">
        <v>166</v>
      </c>
      <c r="K182" s="12" t="s">
        <v>20</v>
      </c>
      <c r="L182" s="14">
        <v>9</v>
      </c>
      <c r="M182" s="14">
        <v>8</v>
      </c>
      <c r="N182" s="14">
        <v>9</v>
      </c>
      <c r="O182" s="17">
        <f>ROUND(IF(OR(G182=0,L182=0,M182=0,N182=0),0, G182*0.5+L182*0.1+M182*0.2+N182*0.2), 1)</f>
        <v>7.2</v>
      </c>
    </row>
    <row r="183" spans="1:15" ht="15" customHeight="1" x14ac:dyDescent="0.25">
      <c r="A183" s="12">
        <v>56</v>
      </c>
      <c r="B183" s="12" t="s">
        <v>93</v>
      </c>
      <c r="C183" s="12" t="s">
        <v>135</v>
      </c>
      <c r="D183" s="13" t="s">
        <v>136</v>
      </c>
      <c r="E183" s="14">
        <v>6</v>
      </c>
      <c r="F183" s="14">
        <v>6</v>
      </c>
      <c r="G183" s="15">
        <f>IF(OR(E183=0,F183=0),0,E183*0.5+F183*0.5)</f>
        <v>6</v>
      </c>
      <c r="H183" s="16">
        <v>39406</v>
      </c>
      <c r="I183" s="12" t="s">
        <v>28</v>
      </c>
      <c r="J183" s="12" t="s">
        <v>96</v>
      </c>
      <c r="K183" s="12" t="s">
        <v>20</v>
      </c>
      <c r="L183" s="14">
        <v>10</v>
      </c>
      <c r="M183" s="14">
        <v>8</v>
      </c>
      <c r="N183" s="14">
        <v>8.1</v>
      </c>
      <c r="O183" s="17">
        <f>ROUND(IF(OR(G183=0,L183=0,M183=0,N183=0),0, G183*0.5+L183*0.1+M183*0.2+N183*0.2), 1)</f>
        <v>7.2</v>
      </c>
    </row>
    <row r="184" spans="1:15" ht="15" customHeight="1" x14ac:dyDescent="0.25">
      <c r="A184" s="27">
        <v>133</v>
      </c>
      <c r="B184" s="27" t="s">
        <v>236</v>
      </c>
      <c r="C184" s="27" t="s">
        <v>291</v>
      </c>
      <c r="D184" s="28" t="s">
        <v>292</v>
      </c>
      <c r="E184" s="29">
        <v>5</v>
      </c>
      <c r="F184" s="29">
        <v>6</v>
      </c>
      <c r="G184" s="21">
        <f>IF(OR(E184=0,F184=0),0,E184*0.5+F184*0.5)</f>
        <v>5.5</v>
      </c>
      <c r="H184" s="30">
        <v>39352</v>
      </c>
      <c r="I184" s="27" t="s">
        <v>28</v>
      </c>
      <c r="J184" s="27" t="s">
        <v>239</v>
      </c>
      <c r="K184" s="27" t="s">
        <v>20</v>
      </c>
      <c r="L184" s="29">
        <v>10</v>
      </c>
      <c r="M184" s="29">
        <v>7.5</v>
      </c>
      <c r="N184" s="29">
        <v>9.1999999999999993</v>
      </c>
      <c r="O184" s="17">
        <f>ROUND(IF(OR(G184=0,L184=0,M184=0,N184=0),0, G184*0.5+L184*0.1+M184*0.2+N184*0.2), 1)</f>
        <v>7.1</v>
      </c>
    </row>
    <row r="185" spans="1:15" ht="15" customHeight="1" x14ac:dyDescent="0.25">
      <c r="A185" s="12">
        <v>44</v>
      </c>
      <c r="B185" s="12" t="s">
        <v>93</v>
      </c>
      <c r="C185" s="12" t="s">
        <v>111</v>
      </c>
      <c r="D185" s="13" t="s">
        <v>112</v>
      </c>
      <c r="E185" s="14">
        <v>9</v>
      </c>
      <c r="F185" s="14">
        <v>4.5</v>
      </c>
      <c r="G185" s="15">
        <f>IF(OR(E185=0,F185=0),0,E185*0.5+F185*0.5)</f>
        <v>6.75</v>
      </c>
      <c r="H185" s="16">
        <v>39388</v>
      </c>
      <c r="I185" s="12" t="s">
        <v>45</v>
      </c>
      <c r="J185" s="12" t="s">
        <v>96</v>
      </c>
      <c r="K185" s="12" t="s">
        <v>20</v>
      </c>
      <c r="L185" s="14">
        <v>4.5</v>
      </c>
      <c r="M185" s="14">
        <v>7.5</v>
      </c>
      <c r="N185" s="14">
        <v>9.1</v>
      </c>
      <c r="O185" s="17">
        <f>ROUND(IF(OR(G185=0,L185=0,M185=0,N185=0),0, G185*0.5+L185*0.1+M185*0.2+N185*0.2), 1)</f>
        <v>7.1</v>
      </c>
    </row>
    <row r="186" spans="1:15" ht="15" customHeight="1" x14ac:dyDescent="0.25">
      <c r="A186" s="12">
        <v>191</v>
      </c>
      <c r="B186" s="12" t="s">
        <v>373</v>
      </c>
      <c r="C186" s="12" t="s">
        <v>404</v>
      </c>
      <c r="D186" s="13" t="s">
        <v>405</v>
      </c>
      <c r="E186" s="14">
        <v>9</v>
      </c>
      <c r="F186" s="14">
        <v>1.5</v>
      </c>
      <c r="G186" s="15">
        <f>IF(OR(E186=0,F186=0),0,E186*0.5+F186*0.5)</f>
        <v>5.25</v>
      </c>
      <c r="H186" s="16">
        <v>39413</v>
      </c>
      <c r="I186" s="12" t="s">
        <v>45</v>
      </c>
      <c r="J186" s="12" t="s">
        <v>375</v>
      </c>
      <c r="K186" s="12" t="s">
        <v>20</v>
      </c>
      <c r="L186" s="14">
        <v>9</v>
      </c>
      <c r="M186" s="14">
        <v>8.5</v>
      </c>
      <c r="N186" s="14">
        <v>9.5</v>
      </c>
      <c r="O186" s="17">
        <f>ROUND(IF(OR(G186=0,L186=0,M186=0,N186=0),0, G186*0.5+L186*0.1+M186*0.2+N186*0.2), 1)</f>
        <v>7.1</v>
      </c>
    </row>
    <row r="187" spans="1:15" ht="15" customHeight="1" x14ac:dyDescent="0.25">
      <c r="A187" s="12">
        <v>30</v>
      </c>
      <c r="B187" s="12" t="s">
        <v>15</v>
      </c>
      <c r="C187" s="12" t="s">
        <v>81</v>
      </c>
      <c r="D187" s="13" t="s">
        <v>82</v>
      </c>
      <c r="E187" s="14">
        <v>6</v>
      </c>
      <c r="F187" s="14">
        <v>6</v>
      </c>
      <c r="G187" s="15">
        <f>IF(OR(E187=0,F187=0),0,E187*0.5+F187*0.5)</f>
        <v>6</v>
      </c>
      <c r="H187" s="16">
        <v>39114</v>
      </c>
      <c r="I187" s="12" t="s">
        <v>49</v>
      </c>
      <c r="J187" s="12" t="s">
        <v>19</v>
      </c>
      <c r="K187" s="12" t="s">
        <v>20</v>
      </c>
      <c r="L187" s="14">
        <v>10</v>
      </c>
      <c r="M187" s="14">
        <v>7</v>
      </c>
      <c r="N187" s="14">
        <v>8.6999999999999993</v>
      </c>
      <c r="O187" s="17">
        <f>ROUND(IF(OR(G187=0,L187=0,M187=0,N187=0),0, G187*0.5+L187*0.1+M187*0.2+N187*0.2), 1)</f>
        <v>7.1</v>
      </c>
    </row>
    <row r="188" spans="1:15" ht="15" customHeight="1" x14ac:dyDescent="0.25">
      <c r="A188" s="12">
        <v>57</v>
      </c>
      <c r="B188" s="12" t="s">
        <v>93</v>
      </c>
      <c r="C188" s="12" t="s">
        <v>137</v>
      </c>
      <c r="D188" s="13" t="s">
        <v>138</v>
      </c>
      <c r="E188" s="14">
        <v>6</v>
      </c>
      <c r="F188" s="14">
        <v>4.5</v>
      </c>
      <c r="G188" s="15">
        <f>IF(OR(E188=0,F188=0),0,E188*0.5+F188*0.5)</f>
        <v>5.25</v>
      </c>
      <c r="H188" s="16">
        <v>39361</v>
      </c>
      <c r="I188" s="12" t="s">
        <v>49</v>
      </c>
      <c r="J188" s="12" t="s">
        <v>96</v>
      </c>
      <c r="K188" s="12" t="s">
        <v>20</v>
      </c>
      <c r="L188" s="14">
        <v>10</v>
      </c>
      <c r="M188" s="14">
        <v>8.5</v>
      </c>
      <c r="N188" s="14">
        <v>8.6999999999999993</v>
      </c>
      <c r="O188" s="17">
        <f>ROUND(IF(OR(G188=0,L188=0,M188=0,N188=0),0, G188*0.5+L188*0.1+M188*0.2+N188*0.2), 1)</f>
        <v>7.1</v>
      </c>
    </row>
    <row r="189" spans="1:15" ht="15" customHeight="1" x14ac:dyDescent="0.25">
      <c r="A189" s="12">
        <v>232</v>
      </c>
      <c r="B189" s="12" t="s">
        <v>437</v>
      </c>
      <c r="C189" s="12" t="s">
        <v>486</v>
      </c>
      <c r="D189" s="13" t="s">
        <v>487</v>
      </c>
      <c r="E189" s="14">
        <v>6</v>
      </c>
      <c r="F189" s="14">
        <v>6</v>
      </c>
      <c r="G189" s="15">
        <f>IF(OR(E189=0,F189=0),0,E189*0.5+F189*0.5)</f>
        <v>6</v>
      </c>
      <c r="H189" s="16">
        <v>39402</v>
      </c>
      <c r="I189" s="12" t="s">
        <v>23</v>
      </c>
      <c r="J189" s="12" t="s">
        <v>166</v>
      </c>
      <c r="K189" s="12" t="s">
        <v>20</v>
      </c>
      <c r="L189" s="14">
        <v>10</v>
      </c>
      <c r="M189" s="14">
        <v>8.5</v>
      </c>
      <c r="N189" s="14">
        <v>6.9</v>
      </c>
      <c r="O189" s="17">
        <f>ROUND(IF(OR(G189=0,L189=0,M189=0,N189=0),0, G189*0.5+L189*0.1+M189*0.2+N189*0.2), 1)</f>
        <v>7.1</v>
      </c>
    </row>
    <row r="190" spans="1:15" ht="15" customHeight="1" x14ac:dyDescent="0.25">
      <c r="A190" s="12">
        <v>236</v>
      </c>
      <c r="B190" s="12" t="s">
        <v>437</v>
      </c>
      <c r="C190" s="12" t="s">
        <v>494</v>
      </c>
      <c r="D190" s="13" t="s">
        <v>495</v>
      </c>
      <c r="E190" s="14">
        <v>7</v>
      </c>
      <c r="F190" s="14">
        <v>6</v>
      </c>
      <c r="G190" s="15">
        <f>IF(OR(E190=0,F190=0),0,E190*0.5+F190*0.5)</f>
        <v>6.5</v>
      </c>
      <c r="H190" s="16">
        <v>39131</v>
      </c>
      <c r="I190" s="12" t="s">
        <v>28</v>
      </c>
      <c r="J190" s="12" t="s">
        <v>166</v>
      </c>
      <c r="K190" s="12" t="s">
        <v>20</v>
      </c>
      <c r="L190" s="14">
        <v>6.5</v>
      </c>
      <c r="M190" s="14">
        <v>7.5</v>
      </c>
      <c r="N190" s="14">
        <v>8.6999999999999993</v>
      </c>
      <c r="O190" s="17">
        <f>ROUND(IF(OR(G190=0,L190=0,M190=0,N190=0),0, G190*0.5+L190*0.1+M190*0.2+N190*0.2), 1)</f>
        <v>7.1</v>
      </c>
    </row>
    <row r="191" spans="1:15" ht="15" customHeight="1" x14ac:dyDescent="0.25">
      <c r="A191" s="12">
        <v>37</v>
      </c>
      <c r="B191" s="12" t="s">
        <v>93</v>
      </c>
      <c r="C191" s="12" t="s">
        <v>97</v>
      </c>
      <c r="D191" s="13" t="s">
        <v>98</v>
      </c>
      <c r="E191" s="14">
        <v>6</v>
      </c>
      <c r="F191" s="14">
        <v>4.5</v>
      </c>
      <c r="G191" s="15">
        <f>IF(OR(E191=0,F191=0),0,E191*0.5+F191*0.5)</f>
        <v>5.25</v>
      </c>
      <c r="H191" s="16">
        <v>39129</v>
      </c>
      <c r="I191" s="12" t="s">
        <v>45</v>
      </c>
      <c r="J191" s="12" t="s">
        <v>96</v>
      </c>
      <c r="K191" s="12" t="s">
        <v>20</v>
      </c>
      <c r="L191" s="14">
        <v>10</v>
      </c>
      <c r="M191" s="14">
        <v>8.5</v>
      </c>
      <c r="N191" s="14">
        <v>8.4</v>
      </c>
      <c r="O191" s="17">
        <f>ROUND(IF(OR(G191=0,L191=0,M191=0,N191=0),0, G191*0.5+L191*0.1+M191*0.2+N191*0.2), 1)</f>
        <v>7</v>
      </c>
    </row>
    <row r="192" spans="1:15" ht="15" customHeight="1" x14ac:dyDescent="0.25">
      <c r="A192" s="12">
        <v>68</v>
      </c>
      <c r="B192" s="12" t="s">
        <v>93</v>
      </c>
      <c r="C192" s="12" t="s">
        <v>159</v>
      </c>
      <c r="D192" s="13" t="s">
        <v>160</v>
      </c>
      <c r="E192" s="14">
        <v>5</v>
      </c>
      <c r="F192" s="14">
        <v>4.5</v>
      </c>
      <c r="G192" s="15">
        <f>IF(OR(E192=0,F192=0),0,E192*0.5+F192*0.5)</f>
        <v>4.75</v>
      </c>
      <c r="H192" s="16">
        <v>39394</v>
      </c>
      <c r="I192" s="12" t="s">
        <v>28</v>
      </c>
      <c r="J192" s="12" t="s">
        <v>96</v>
      </c>
      <c r="K192" s="12" t="s">
        <v>20</v>
      </c>
      <c r="L192" s="14">
        <v>10</v>
      </c>
      <c r="M192" s="14">
        <v>9</v>
      </c>
      <c r="N192" s="14">
        <v>9.1999999999999993</v>
      </c>
      <c r="O192" s="17">
        <f>ROUND(IF(OR(G192=0,L192=0,M192=0,N192=0),0, G192*0.5+L192*0.1+M192*0.2+N192*0.2), 1)</f>
        <v>7</v>
      </c>
    </row>
    <row r="193" spans="1:15" ht="15" customHeight="1" x14ac:dyDescent="0.25">
      <c r="A193" s="12">
        <v>28</v>
      </c>
      <c r="B193" s="12" t="s">
        <v>15</v>
      </c>
      <c r="C193" s="12" t="s">
        <v>77</v>
      </c>
      <c r="D193" s="13" t="s">
        <v>78</v>
      </c>
      <c r="E193" s="14">
        <v>6.5</v>
      </c>
      <c r="F193" s="14">
        <v>4.5</v>
      </c>
      <c r="G193" s="15">
        <f>IF(OR(E193=0,F193=0),0,E193*0.5+F193*0.5)</f>
        <v>5.5</v>
      </c>
      <c r="H193" s="16">
        <v>38994</v>
      </c>
      <c r="I193" s="12" t="s">
        <v>18</v>
      </c>
      <c r="J193" s="12" t="s">
        <v>19</v>
      </c>
      <c r="K193" s="12" t="s">
        <v>20</v>
      </c>
      <c r="L193" s="14">
        <v>10</v>
      </c>
      <c r="M193" s="14">
        <v>8.5</v>
      </c>
      <c r="N193" s="14">
        <v>7.8</v>
      </c>
      <c r="O193" s="17">
        <f>ROUND(IF(OR(G193=0,L193=0,M193=0,N193=0),0, G193*0.5+L193*0.1+M193*0.2+N193*0.2), 1)</f>
        <v>7</v>
      </c>
    </row>
    <row r="194" spans="1:15" ht="15" customHeight="1" x14ac:dyDescent="0.25">
      <c r="A194" s="12">
        <v>31</v>
      </c>
      <c r="B194" s="12" t="s">
        <v>15</v>
      </c>
      <c r="C194" s="12" t="s">
        <v>83</v>
      </c>
      <c r="D194" s="13" t="s">
        <v>84</v>
      </c>
      <c r="E194" s="14">
        <v>8</v>
      </c>
      <c r="F194" s="14">
        <v>4.5</v>
      </c>
      <c r="G194" s="15">
        <f>IF(OR(E194=0,F194=0),0,E194*0.5+F194*0.5)</f>
        <v>6.25</v>
      </c>
      <c r="H194" s="16">
        <v>39405</v>
      </c>
      <c r="I194" s="12" t="s">
        <v>70</v>
      </c>
      <c r="J194" s="12" t="s">
        <v>19</v>
      </c>
      <c r="K194" s="12" t="s">
        <v>20</v>
      </c>
      <c r="L194" s="14">
        <v>7</v>
      </c>
      <c r="M194" s="14">
        <v>7.5</v>
      </c>
      <c r="N194" s="14">
        <v>8.5</v>
      </c>
      <c r="O194" s="17">
        <f>ROUND(IF(OR(G194=0,L194=0,M194=0,N194=0),0, G194*0.5+L194*0.1+M194*0.2+N194*0.2), 1)</f>
        <v>7</v>
      </c>
    </row>
    <row r="195" spans="1:15" ht="15" customHeight="1" x14ac:dyDescent="0.25">
      <c r="A195" s="12">
        <v>94</v>
      </c>
      <c r="B195" s="12" t="s">
        <v>163</v>
      </c>
      <c r="C195" s="12" t="s">
        <v>212</v>
      </c>
      <c r="D195" s="13" t="s">
        <v>213</v>
      </c>
      <c r="E195" s="14">
        <v>5</v>
      </c>
      <c r="F195" s="14">
        <v>6.5</v>
      </c>
      <c r="G195" s="15">
        <f>IF(OR(E195=0,F195=0),0,E195*0.5+F195*0.5)</f>
        <v>5.75</v>
      </c>
      <c r="H195" s="16">
        <v>39317</v>
      </c>
      <c r="I195" s="12" t="s">
        <v>18</v>
      </c>
      <c r="J195" s="12" t="s">
        <v>166</v>
      </c>
      <c r="K195" s="12" t="s">
        <v>20</v>
      </c>
      <c r="L195" s="14">
        <v>9</v>
      </c>
      <c r="M195" s="14">
        <v>7</v>
      </c>
      <c r="N195" s="14">
        <v>8.9</v>
      </c>
      <c r="O195" s="17">
        <f>ROUND(IF(OR(G195=0,L195=0,M195=0,N195=0),0, G195*0.5+L195*0.1+M195*0.2+N195*0.2), 1)</f>
        <v>7</v>
      </c>
    </row>
    <row r="196" spans="1:15" ht="15" customHeight="1" x14ac:dyDescent="0.25">
      <c r="A196" s="12">
        <v>46</v>
      </c>
      <c r="B196" s="12" t="s">
        <v>93</v>
      </c>
      <c r="C196" s="12" t="s">
        <v>115</v>
      </c>
      <c r="D196" s="13" t="s">
        <v>116</v>
      </c>
      <c r="E196" s="14">
        <v>6</v>
      </c>
      <c r="F196" s="14">
        <v>4.5</v>
      </c>
      <c r="G196" s="15">
        <f>IF(OR(E196=0,F196=0),0,E196*0.5+F196*0.5)</f>
        <v>5.25</v>
      </c>
      <c r="H196" s="16">
        <v>39193</v>
      </c>
      <c r="I196" s="12" t="s">
        <v>45</v>
      </c>
      <c r="J196" s="12" t="s">
        <v>96</v>
      </c>
      <c r="K196" s="12" t="s">
        <v>20</v>
      </c>
      <c r="L196" s="14">
        <v>10</v>
      </c>
      <c r="M196" s="14">
        <v>8</v>
      </c>
      <c r="N196" s="14">
        <v>8.6999999999999993</v>
      </c>
      <c r="O196" s="17">
        <f>ROUND(IF(OR(G196=0,L196=0,M196=0,N196=0),0, G196*0.5+L196*0.1+M196*0.2+N196*0.2), 1)</f>
        <v>7</v>
      </c>
    </row>
    <row r="197" spans="1:15" ht="15" customHeight="1" x14ac:dyDescent="0.25">
      <c r="A197" s="12">
        <v>132</v>
      </c>
      <c r="B197" s="12" t="s">
        <v>236</v>
      </c>
      <c r="C197" s="12" t="s">
        <v>289</v>
      </c>
      <c r="D197" s="13" t="s">
        <v>290</v>
      </c>
      <c r="E197" s="14">
        <v>4.5</v>
      </c>
      <c r="F197" s="14">
        <v>6.5</v>
      </c>
      <c r="G197" s="15">
        <f>IF(OR(E197=0,F197=0),0,E197*0.5+F197*0.5)</f>
        <v>5.5</v>
      </c>
      <c r="H197" s="16">
        <v>39156</v>
      </c>
      <c r="I197" s="12" t="s">
        <v>28</v>
      </c>
      <c r="J197" s="12" t="s">
        <v>239</v>
      </c>
      <c r="K197" s="12" t="s">
        <v>20</v>
      </c>
      <c r="L197" s="14">
        <v>8</v>
      </c>
      <c r="M197" s="14">
        <v>7.5</v>
      </c>
      <c r="N197" s="14">
        <v>9.5</v>
      </c>
      <c r="O197" s="17">
        <f>ROUND(IF(OR(G197=0,L197=0,M197=0,N197=0),0, G197*0.5+L197*0.1+M197*0.2+N197*0.2), 1)</f>
        <v>7</v>
      </c>
    </row>
    <row r="198" spans="1:15" ht="15" customHeight="1" x14ac:dyDescent="0.25">
      <c r="A198" s="12">
        <v>108</v>
      </c>
      <c r="B198" s="12" t="s">
        <v>236</v>
      </c>
      <c r="C198" s="12" t="s">
        <v>242</v>
      </c>
      <c r="D198" s="13" t="s">
        <v>243</v>
      </c>
      <c r="E198" s="14">
        <v>5.5</v>
      </c>
      <c r="F198" s="14">
        <v>4.5</v>
      </c>
      <c r="G198" s="15">
        <f>IF(OR(E198=0,F198=0),0,E198*0.5+F198*0.5)</f>
        <v>5</v>
      </c>
      <c r="H198" s="16">
        <v>39290</v>
      </c>
      <c r="I198" s="12" t="s">
        <v>49</v>
      </c>
      <c r="J198" s="12" t="s">
        <v>239</v>
      </c>
      <c r="K198" s="12" t="s">
        <v>20</v>
      </c>
      <c r="L198" s="14">
        <v>10</v>
      </c>
      <c r="M198" s="14">
        <v>8</v>
      </c>
      <c r="N198" s="14">
        <v>9.5</v>
      </c>
      <c r="O198" s="17">
        <f>ROUND(IF(OR(G198=0,L198=0,M198=0,N198=0),0, G198*0.5+L198*0.1+M198*0.2+N198*0.2), 1)</f>
        <v>7</v>
      </c>
    </row>
    <row r="199" spans="1:15" ht="15" customHeight="1" x14ac:dyDescent="0.25">
      <c r="A199" s="12">
        <v>203</v>
      </c>
      <c r="B199" s="12" t="s">
        <v>373</v>
      </c>
      <c r="C199" s="12" t="s">
        <v>427</v>
      </c>
      <c r="D199" s="13" t="s">
        <v>428</v>
      </c>
      <c r="E199" s="14">
        <v>6</v>
      </c>
      <c r="F199" s="14">
        <v>6</v>
      </c>
      <c r="G199" s="15">
        <f>IF(OR(E199=0,F199=0),0,E199*0.5+F199*0.5)</f>
        <v>6</v>
      </c>
      <c r="H199" s="16">
        <v>39300</v>
      </c>
      <c r="I199" s="12" t="s">
        <v>45</v>
      </c>
      <c r="J199" s="12" t="s">
        <v>375</v>
      </c>
      <c r="K199" s="12" t="s">
        <v>20</v>
      </c>
      <c r="L199" s="14">
        <v>6.5</v>
      </c>
      <c r="M199" s="14">
        <v>7.5</v>
      </c>
      <c r="N199" s="14">
        <v>9</v>
      </c>
      <c r="O199" s="17">
        <f>ROUND(IF(OR(G199=0,L199=0,M199=0,N199=0),0, G199*0.5+L199*0.1+M199*0.2+N199*0.2), 1)</f>
        <v>7</v>
      </c>
    </row>
    <row r="200" spans="1:15" ht="15" customHeight="1" x14ac:dyDescent="0.25">
      <c r="A200" s="12">
        <v>139</v>
      </c>
      <c r="B200" s="12" t="s">
        <v>236</v>
      </c>
      <c r="C200" s="18" t="s">
        <v>302</v>
      </c>
      <c r="D200" s="19" t="s">
        <v>303</v>
      </c>
      <c r="E200" s="20">
        <v>6.5</v>
      </c>
      <c r="F200" s="20">
        <v>6</v>
      </c>
      <c r="G200" s="21">
        <f>IF(OR(E200=0,F200=0),0,E200*0.5+F200*0.5)</f>
        <v>6.25</v>
      </c>
      <c r="H200" s="22">
        <v>39422</v>
      </c>
      <c r="I200" s="18" t="s">
        <v>49</v>
      </c>
      <c r="J200" s="18" t="s">
        <v>239</v>
      </c>
      <c r="K200" s="18" t="s">
        <v>20</v>
      </c>
      <c r="L200" s="14">
        <v>5.5</v>
      </c>
      <c r="M200" s="14">
        <v>8</v>
      </c>
      <c r="N200" s="14">
        <v>8.5</v>
      </c>
      <c r="O200" s="17">
        <f>ROUND(IF(OR(G200=0,L200=0,M200=0,N200=0),0, G200*0.5+L200*0.1+M200*0.2+N200*0.2), 1)</f>
        <v>7</v>
      </c>
    </row>
    <row r="201" spans="1:15" ht="15" customHeight="1" x14ac:dyDescent="0.25">
      <c r="A201" s="12">
        <v>257</v>
      </c>
      <c r="B201" s="12" t="s">
        <v>498</v>
      </c>
      <c r="C201" s="12" t="s">
        <v>536</v>
      </c>
      <c r="D201" s="13" t="s">
        <v>537</v>
      </c>
      <c r="E201" s="14">
        <v>6</v>
      </c>
      <c r="F201" s="14">
        <v>6</v>
      </c>
      <c r="G201" s="15">
        <f>IF(OR(E201=0,F201=0),0,E201*0.5+F201*0.5)</f>
        <v>6</v>
      </c>
      <c r="H201" s="16">
        <v>39084</v>
      </c>
      <c r="I201" s="12" t="s">
        <v>70</v>
      </c>
      <c r="J201" s="12" t="s">
        <v>19</v>
      </c>
      <c r="K201" s="12" t="s">
        <v>20</v>
      </c>
      <c r="L201" s="14">
        <v>8</v>
      </c>
      <c r="M201" s="14">
        <v>8.5</v>
      </c>
      <c r="N201" s="14">
        <v>7.5</v>
      </c>
      <c r="O201" s="17">
        <f>ROUND(IF(OR(G201=0,L201=0,M201=0,N201=0),0, G201*0.5+L201*0.1+M201*0.2+N201*0.2), 1)</f>
        <v>7</v>
      </c>
    </row>
    <row r="202" spans="1:15" ht="15" customHeight="1" x14ac:dyDescent="0.25">
      <c r="A202" s="12">
        <v>283</v>
      </c>
      <c r="B202" s="12" t="s">
        <v>498</v>
      </c>
      <c r="C202" s="12" t="s">
        <v>588</v>
      </c>
      <c r="D202" s="13" t="s">
        <v>589</v>
      </c>
      <c r="E202" s="14">
        <v>6</v>
      </c>
      <c r="F202" s="14">
        <v>6</v>
      </c>
      <c r="G202" s="15">
        <f>IF(OR(E202=0,F202=0),0,E202*0.5+F202*0.5)</f>
        <v>6</v>
      </c>
      <c r="H202" s="16">
        <v>39281</v>
      </c>
      <c r="I202" s="12" t="s">
        <v>28</v>
      </c>
      <c r="J202" s="12" t="s">
        <v>19</v>
      </c>
      <c r="K202" s="12" t="s">
        <v>20</v>
      </c>
      <c r="L202" s="14">
        <v>3.5</v>
      </c>
      <c r="M202" s="14">
        <v>8.5</v>
      </c>
      <c r="N202" s="14">
        <v>9.5</v>
      </c>
      <c r="O202" s="17">
        <f>ROUND(IF(OR(G202=0,L202=0,M202=0,N202=0),0, G202*0.5+L202*0.1+M202*0.2+N202*0.2), 1)</f>
        <v>7</v>
      </c>
    </row>
    <row r="203" spans="1:15" ht="15" customHeight="1" x14ac:dyDescent="0.25">
      <c r="A203" s="12">
        <v>14</v>
      </c>
      <c r="B203" s="12" t="s">
        <v>15</v>
      </c>
      <c r="C203" s="12" t="s">
        <v>48</v>
      </c>
      <c r="D203" s="13" t="s">
        <v>47</v>
      </c>
      <c r="E203" s="14">
        <v>6</v>
      </c>
      <c r="F203" s="14">
        <v>6</v>
      </c>
      <c r="G203" s="15">
        <f>IF(OR(E203=0,F203=0),0,E203*0.5+F203*0.5)</f>
        <v>6</v>
      </c>
      <c r="H203" s="16">
        <v>39407</v>
      </c>
      <c r="I203" s="12" t="s">
        <v>49</v>
      </c>
      <c r="J203" s="12" t="s">
        <v>19</v>
      </c>
      <c r="K203" s="12" t="s">
        <v>20</v>
      </c>
      <c r="L203" s="14">
        <v>4.5</v>
      </c>
      <c r="M203" s="14">
        <v>7.5</v>
      </c>
      <c r="N203" s="14">
        <v>9.5</v>
      </c>
      <c r="O203" s="17">
        <f>ROUND(IF(OR(G203=0,L203=0,M203=0,N203=0),0, G203*0.5+L203*0.1+M203*0.2+N203*0.2), 1)</f>
        <v>6.9</v>
      </c>
    </row>
    <row r="204" spans="1:15" ht="15" customHeight="1" x14ac:dyDescent="0.25">
      <c r="A204" s="27">
        <v>198</v>
      </c>
      <c r="B204" s="27" t="s">
        <v>373</v>
      </c>
      <c r="C204" s="27" t="s">
        <v>417</v>
      </c>
      <c r="D204" s="28" t="s">
        <v>418</v>
      </c>
      <c r="E204" s="29">
        <v>6</v>
      </c>
      <c r="F204" s="29">
        <v>6</v>
      </c>
      <c r="G204" s="21">
        <f>IF(OR(E204=0,F204=0),0,E204*0.5+F204*0.5)</f>
        <v>6</v>
      </c>
      <c r="H204" s="30">
        <v>39432</v>
      </c>
      <c r="I204" s="27" t="s">
        <v>45</v>
      </c>
      <c r="J204" s="27" t="s">
        <v>375</v>
      </c>
      <c r="K204" s="27" t="s">
        <v>20</v>
      </c>
      <c r="L204" s="29">
        <v>5.5</v>
      </c>
      <c r="M204" s="29">
        <v>7.5</v>
      </c>
      <c r="N204" s="29">
        <v>9.4</v>
      </c>
      <c r="O204" s="17">
        <f>ROUND(IF(OR(G204=0,L204=0,M204=0,N204=0),0, G204*0.5+L204*0.1+M204*0.2+N204*0.2), 1)</f>
        <v>6.9</v>
      </c>
    </row>
    <row r="205" spans="1:15" ht="15" customHeight="1" x14ac:dyDescent="0.25">
      <c r="A205" s="12">
        <v>144</v>
      </c>
      <c r="B205" s="12" t="s">
        <v>306</v>
      </c>
      <c r="C205" s="12" t="s">
        <v>314</v>
      </c>
      <c r="D205" s="13" t="s">
        <v>315</v>
      </c>
      <c r="E205" s="14">
        <v>7</v>
      </c>
      <c r="F205" s="14">
        <v>4.5</v>
      </c>
      <c r="G205" s="15">
        <f>IF(OR(E205=0,F205=0),0,E205*0.5+F205*0.5)</f>
        <v>5.75</v>
      </c>
      <c r="H205" s="16">
        <v>39442</v>
      </c>
      <c r="I205" s="12" t="s">
        <v>49</v>
      </c>
      <c r="J205" s="12" t="s">
        <v>309</v>
      </c>
      <c r="K205" s="12" t="s">
        <v>20</v>
      </c>
      <c r="L205" s="14">
        <v>7.5</v>
      </c>
      <c r="M205" s="14">
        <v>7</v>
      </c>
      <c r="N205" s="14">
        <v>9.5</v>
      </c>
      <c r="O205" s="17">
        <f>ROUND(IF(OR(G205=0,L205=0,M205=0,N205=0),0, G205*0.5+L205*0.1+M205*0.2+N205*0.2), 1)</f>
        <v>6.9</v>
      </c>
    </row>
    <row r="206" spans="1:15" ht="15" customHeight="1" x14ac:dyDescent="0.25">
      <c r="A206" s="12">
        <v>112</v>
      </c>
      <c r="B206" s="12" t="s">
        <v>236</v>
      </c>
      <c r="C206" s="12" t="s">
        <v>250</v>
      </c>
      <c r="D206" s="13" t="s">
        <v>251</v>
      </c>
      <c r="E206" s="14">
        <v>6</v>
      </c>
      <c r="F206" s="14">
        <v>4.5</v>
      </c>
      <c r="G206" s="15">
        <f>IF(OR(E206=0,F206=0),0,E206*0.5+F206*0.5)</f>
        <v>5.25</v>
      </c>
      <c r="H206" s="16">
        <v>39320</v>
      </c>
      <c r="I206" s="12" t="s">
        <v>45</v>
      </c>
      <c r="J206" s="12" t="s">
        <v>239</v>
      </c>
      <c r="K206" s="12" t="s">
        <v>20</v>
      </c>
      <c r="L206" s="14">
        <v>10</v>
      </c>
      <c r="M206" s="14">
        <v>7.5</v>
      </c>
      <c r="N206" s="14">
        <v>9</v>
      </c>
      <c r="O206" s="17">
        <f>ROUND(IF(OR(G206=0,L206=0,M206=0,N206=0),0, G206*0.5+L206*0.1+M206*0.2+N206*0.2), 1)</f>
        <v>6.9</v>
      </c>
    </row>
    <row r="207" spans="1:15" ht="15" customHeight="1" x14ac:dyDescent="0.25">
      <c r="A207" s="12">
        <v>63</v>
      </c>
      <c r="B207" s="12" t="s">
        <v>93</v>
      </c>
      <c r="C207" s="12" t="s">
        <v>149</v>
      </c>
      <c r="D207" s="13" t="s">
        <v>150</v>
      </c>
      <c r="E207" s="14">
        <v>6.5</v>
      </c>
      <c r="F207" s="14">
        <v>5.5</v>
      </c>
      <c r="G207" s="15">
        <f>IF(OR(E207=0,F207=0),0,E207*0.5+F207*0.5)</f>
        <v>6</v>
      </c>
      <c r="H207" s="16">
        <v>39112</v>
      </c>
      <c r="I207" s="12" t="s">
        <v>49</v>
      </c>
      <c r="J207" s="12" t="s">
        <v>96</v>
      </c>
      <c r="K207" s="12" t="s">
        <v>20</v>
      </c>
      <c r="L207" s="14">
        <v>10</v>
      </c>
      <c r="M207" s="14">
        <v>8</v>
      </c>
      <c r="N207" s="14">
        <v>6.5</v>
      </c>
      <c r="O207" s="17">
        <f>ROUND(IF(OR(G207=0,L207=0,M207=0,N207=0),0, G207*0.5+L207*0.1+M207*0.2+N207*0.2), 1)</f>
        <v>6.9</v>
      </c>
    </row>
    <row r="208" spans="1:15" ht="15" customHeight="1" x14ac:dyDescent="0.25">
      <c r="A208" s="12">
        <v>53</v>
      </c>
      <c r="B208" s="12" t="s">
        <v>93</v>
      </c>
      <c r="C208" s="12" t="s">
        <v>129</v>
      </c>
      <c r="D208" s="13" t="s">
        <v>130</v>
      </c>
      <c r="E208" s="14">
        <v>5.5</v>
      </c>
      <c r="F208" s="14">
        <v>4.5</v>
      </c>
      <c r="G208" s="15">
        <f>IF(OR(E208=0,F208=0),0,E208*0.5+F208*0.5)</f>
        <v>5</v>
      </c>
      <c r="H208" s="16">
        <v>39222</v>
      </c>
      <c r="I208" s="12" t="s">
        <v>45</v>
      </c>
      <c r="J208" s="12" t="s">
        <v>96</v>
      </c>
      <c r="K208" s="12" t="s">
        <v>20</v>
      </c>
      <c r="L208" s="14">
        <v>10</v>
      </c>
      <c r="M208" s="14">
        <v>8</v>
      </c>
      <c r="N208" s="14">
        <v>8.9</v>
      </c>
      <c r="O208" s="17">
        <f>ROUND(IF(OR(G208=0,L208=0,M208=0,N208=0),0, G208*0.5+L208*0.1+M208*0.2+N208*0.2), 1)</f>
        <v>6.9</v>
      </c>
    </row>
    <row r="209" spans="1:15" ht="15" customHeight="1" x14ac:dyDescent="0.25">
      <c r="A209" s="12">
        <v>277</v>
      </c>
      <c r="B209" s="12" t="s">
        <v>498</v>
      </c>
      <c r="C209" s="12" t="s">
        <v>576</v>
      </c>
      <c r="D209" s="13" t="s">
        <v>577</v>
      </c>
      <c r="E209" s="14">
        <v>6.5</v>
      </c>
      <c r="F209" s="14">
        <v>5.5</v>
      </c>
      <c r="G209" s="15">
        <f>IF(OR(E209=0,F209=0),0,E209*0.5+F209*0.5)</f>
        <v>6</v>
      </c>
      <c r="H209" s="16">
        <v>39427</v>
      </c>
      <c r="I209" s="12" t="s">
        <v>70</v>
      </c>
      <c r="J209" s="12" t="s">
        <v>19</v>
      </c>
      <c r="K209" s="12" t="s">
        <v>20</v>
      </c>
      <c r="L209" s="14">
        <v>6.5</v>
      </c>
      <c r="M209" s="14">
        <v>7</v>
      </c>
      <c r="N209" s="14">
        <v>9</v>
      </c>
      <c r="O209" s="17">
        <f>ROUND(IF(OR(G209=0,L209=0,M209=0,N209=0),0, G209*0.5+L209*0.1+M209*0.2+N209*0.2), 1)</f>
        <v>6.9</v>
      </c>
    </row>
    <row r="210" spans="1:15" ht="15" customHeight="1" x14ac:dyDescent="0.25">
      <c r="A210" s="12">
        <v>255</v>
      </c>
      <c r="B210" s="12" t="s">
        <v>498</v>
      </c>
      <c r="C210" s="12" t="s">
        <v>532</v>
      </c>
      <c r="D210" s="13" t="s">
        <v>533</v>
      </c>
      <c r="E210" s="14">
        <v>5.5</v>
      </c>
      <c r="F210" s="14">
        <v>4.5</v>
      </c>
      <c r="G210" s="15">
        <f>IF(OR(E210=0,F210=0),0,E210*0.5+F210*0.5)</f>
        <v>5</v>
      </c>
      <c r="H210" s="16">
        <v>39172</v>
      </c>
      <c r="I210" s="12" t="s">
        <v>28</v>
      </c>
      <c r="J210" s="12" t="s">
        <v>19</v>
      </c>
      <c r="K210" s="12" t="s">
        <v>20</v>
      </c>
      <c r="L210" s="14">
        <v>8.5</v>
      </c>
      <c r="M210" s="14">
        <v>8</v>
      </c>
      <c r="N210" s="14">
        <v>9.5</v>
      </c>
      <c r="O210" s="17">
        <f>ROUND(IF(OR(G210=0,L210=0,M210=0,N210=0),0, G210*0.5+L210*0.1+M210*0.2+N210*0.2), 1)</f>
        <v>6.9</v>
      </c>
    </row>
    <row r="211" spans="1:15" ht="15" customHeight="1" x14ac:dyDescent="0.25">
      <c r="A211" s="12">
        <v>149</v>
      </c>
      <c r="B211" s="12" t="s">
        <v>306</v>
      </c>
      <c r="C211" s="12" t="s">
        <v>324</v>
      </c>
      <c r="D211" s="13" t="s">
        <v>325</v>
      </c>
      <c r="E211" s="14">
        <v>8.5</v>
      </c>
      <c r="F211" s="14">
        <v>2.5</v>
      </c>
      <c r="G211" s="15">
        <f>IF(OR(E211=0,F211=0),0,E211*0.5+F211*0.5)</f>
        <v>5.5</v>
      </c>
      <c r="H211" s="16">
        <v>39437</v>
      </c>
      <c r="I211" s="12" t="s">
        <v>28</v>
      </c>
      <c r="J211" s="12" t="s">
        <v>309</v>
      </c>
      <c r="K211" s="12" t="s">
        <v>20</v>
      </c>
      <c r="L211" s="14">
        <v>6.5</v>
      </c>
      <c r="M211" s="14">
        <v>8</v>
      </c>
      <c r="N211" s="14">
        <v>9.5</v>
      </c>
      <c r="O211" s="17">
        <f>ROUND(IF(OR(G211=0,L211=0,M211=0,N211=0),0, G211*0.5+L211*0.1+M211*0.2+N211*0.2), 1)</f>
        <v>6.9</v>
      </c>
    </row>
    <row r="212" spans="1:15" ht="15" customHeight="1" x14ac:dyDescent="0.25">
      <c r="A212" s="12">
        <v>217</v>
      </c>
      <c r="B212" s="12" t="s">
        <v>437</v>
      </c>
      <c r="C212" s="12" t="s">
        <v>456</v>
      </c>
      <c r="D212" s="13" t="s">
        <v>457</v>
      </c>
      <c r="E212" s="14">
        <v>7</v>
      </c>
      <c r="F212" s="14">
        <v>4.5</v>
      </c>
      <c r="G212" s="15">
        <f>IF(OR(E212=0,F212=0),0,E212*0.5+F212*0.5)</f>
        <v>5.75</v>
      </c>
      <c r="H212" s="16">
        <v>39196</v>
      </c>
      <c r="I212" s="12" t="s">
        <v>28</v>
      </c>
      <c r="J212" s="12" t="s">
        <v>96</v>
      </c>
      <c r="K212" s="12" t="s">
        <v>20</v>
      </c>
      <c r="L212" s="14">
        <v>9</v>
      </c>
      <c r="M212" s="14">
        <v>7.5</v>
      </c>
      <c r="N212" s="14">
        <v>8.1</v>
      </c>
      <c r="O212" s="17">
        <f>ROUND(IF(OR(G212=0,L212=0,M212=0,N212=0),0, G212*0.5+L212*0.1+M212*0.2+N212*0.2), 1)</f>
        <v>6.9</v>
      </c>
    </row>
    <row r="213" spans="1:15" ht="15" customHeight="1" x14ac:dyDescent="0.25">
      <c r="A213" s="12">
        <v>231</v>
      </c>
      <c r="B213" s="12" t="s">
        <v>437</v>
      </c>
      <c r="C213" s="12" t="s">
        <v>484</v>
      </c>
      <c r="D213" s="13" t="s">
        <v>485</v>
      </c>
      <c r="E213" s="14">
        <v>6.5</v>
      </c>
      <c r="F213" s="14">
        <v>5.5</v>
      </c>
      <c r="G213" s="15">
        <f>IF(OR(E213=0,F213=0),0,E213*0.5+F213*0.5)</f>
        <v>6</v>
      </c>
      <c r="H213" s="16">
        <v>39367</v>
      </c>
      <c r="I213" s="12" t="s">
        <v>70</v>
      </c>
      <c r="J213" s="12" t="s">
        <v>166</v>
      </c>
      <c r="K213" s="12" t="s">
        <v>20</v>
      </c>
      <c r="L213" s="14">
        <v>7</v>
      </c>
      <c r="M213" s="14">
        <v>8.5</v>
      </c>
      <c r="N213" s="14">
        <v>7.7</v>
      </c>
      <c r="O213" s="17">
        <f>ROUND(IF(OR(G213=0,L213=0,M213=0,N213=0),0, G213*0.5+L213*0.1+M213*0.2+N213*0.2), 1)</f>
        <v>6.9</v>
      </c>
    </row>
    <row r="214" spans="1:15" ht="15" customHeight="1" x14ac:dyDescent="0.25">
      <c r="A214" s="12">
        <v>209</v>
      </c>
      <c r="B214" s="12" t="s">
        <v>437</v>
      </c>
      <c r="C214" s="12" t="s">
        <v>440</v>
      </c>
      <c r="D214" s="13" t="s">
        <v>441</v>
      </c>
      <c r="E214" s="14">
        <v>7</v>
      </c>
      <c r="F214" s="14">
        <v>5.5</v>
      </c>
      <c r="G214" s="15">
        <f>IF(OR(E214=0,F214=0),0,E214*0.5+F214*0.5)</f>
        <v>6.25</v>
      </c>
      <c r="H214" s="16">
        <v>38972</v>
      </c>
      <c r="I214" s="12" t="s">
        <v>49</v>
      </c>
      <c r="J214" s="12" t="s">
        <v>166</v>
      </c>
      <c r="K214" s="12" t="s">
        <v>20</v>
      </c>
      <c r="L214" s="14">
        <v>4.5</v>
      </c>
      <c r="M214" s="14">
        <v>7.5</v>
      </c>
      <c r="N214" s="14">
        <v>9</v>
      </c>
      <c r="O214" s="17">
        <f>ROUND(IF(OR(G214=0,L214=0,M214=0,N214=0),0, G214*0.5+L214*0.1+M214*0.2+N214*0.2), 1)</f>
        <v>6.9</v>
      </c>
    </row>
    <row r="215" spans="1:15" ht="15" customHeight="1" x14ac:dyDescent="0.25">
      <c r="A215" s="12">
        <v>115</v>
      </c>
      <c r="B215" s="12" t="s">
        <v>236</v>
      </c>
      <c r="C215" s="12" t="s">
        <v>256</v>
      </c>
      <c r="D215" s="13" t="s">
        <v>182</v>
      </c>
      <c r="E215" s="14">
        <v>7</v>
      </c>
      <c r="F215" s="14">
        <v>4.5</v>
      </c>
      <c r="G215" s="15">
        <f>IF(OR(E215=0,F215=0),0,E215*0.5+F215*0.5)</f>
        <v>5.75</v>
      </c>
      <c r="H215" s="16">
        <v>39232</v>
      </c>
      <c r="I215" s="12" t="s">
        <v>49</v>
      </c>
      <c r="J215" s="12" t="s">
        <v>239</v>
      </c>
      <c r="K215" s="12" t="s">
        <v>20</v>
      </c>
      <c r="L215" s="14">
        <v>8</v>
      </c>
      <c r="M215" s="14">
        <v>8</v>
      </c>
      <c r="N215" s="14">
        <v>7.7</v>
      </c>
      <c r="O215" s="17">
        <f>ROUND(IF(OR(G215=0,L215=0,M215=0,N215=0),0, G215*0.5+L215*0.1+M215*0.2+N215*0.2), 1)</f>
        <v>6.8</v>
      </c>
    </row>
    <row r="216" spans="1:15" ht="15" customHeight="1" x14ac:dyDescent="0.25">
      <c r="A216" s="12">
        <v>119</v>
      </c>
      <c r="B216" s="12" t="s">
        <v>236</v>
      </c>
      <c r="C216" s="12" t="s">
        <v>263</v>
      </c>
      <c r="D216" s="13" t="s">
        <v>264</v>
      </c>
      <c r="E216" s="14">
        <v>5.5</v>
      </c>
      <c r="F216" s="14">
        <v>4.5</v>
      </c>
      <c r="G216" s="15">
        <f>IF(OR(E216=0,F216=0),0,E216*0.5+F216*0.5)</f>
        <v>5</v>
      </c>
      <c r="H216" s="16">
        <v>39369</v>
      </c>
      <c r="I216" s="12" t="s">
        <v>23</v>
      </c>
      <c r="J216" s="12" t="s">
        <v>239</v>
      </c>
      <c r="K216" s="12" t="s">
        <v>20</v>
      </c>
      <c r="L216" s="14">
        <v>10</v>
      </c>
      <c r="M216" s="14">
        <v>7</v>
      </c>
      <c r="N216" s="14">
        <v>9.4</v>
      </c>
      <c r="O216" s="17">
        <f>ROUND(IF(OR(G216=0,L216=0,M216=0,N216=0),0, G216*0.5+L216*0.1+M216*0.2+N216*0.2), 1)</f>
        <v>6.8</v>
      </c>
    </row>
    <row r="217" spans="1:15" ht="15" customHeight="1" x14ac:dyDescent="0.25">
      <c r="A217" s="12">
        <v>104</v>
      </c>
      <c r="B217" s="12" t="s">
        <v>163</v>
      </c>
      <c r="C217" s="12" t="s">
        <v>232</v>
      </c>
      <c r="D217" s="13" t="s">
        <v>233</v>
      </c>
      <c r="E217" s="14">
        <v>7</v>
      </c>
      <c r="F217" s="14">
        <v>4.5</v>
      </c>
      <c r="G217" s="15">
        <f>IF(OR(E217=0,F217=0),0,E217*0.5+F217*0.5)</f>
        <v>5.75</v>
      </c>
      <c r="H217" s="16">
        <v>39224</v>
      </c>
      <c r="I217" s="12" t="s">
        <v>23</v>
      </c>
      <c r="J217" s="12" t="s">
        <v>166</v>
      </c>
      <c r="K217" s="12" t="s">
        <v>20</v>
      </c>
      <c r="L217" s="14">
        <v>9</v>
      </c>
      <c r="M217" s="14">
        <v>7.5</v>
      </c>
      <c r="N217" s="14">
        <v>7.7</v>
      </c>
      <c r="O217" s="17">
        <f>ROUND(IF(OR(G217=0,L217=0,M217=0,N217=0),0, G217*0.5+L217*0.1+M217*0.2+N217*0.2), 1)</f>
        <v>6.8</v>
      </c>
    </row>
    <row r="218" spans="1:15" ht="15" customHeight="1" x14ac:dyDescent="0.25">
      <c r="A218" s="12">
        <v>256</v>
      </c>
      <c r="B218" s="12" t="s">
        <v>498</v>
      </c>
      <c r="C218" s="12" t="s">
        <v>534</v>
      </c>
      <c r="D218" s="13" t="s">
        <v>535</v>
      </c>
      <c r="E218" s="14">
        <v>9</v>
      </c>
      <c r="F218" s="14">
        <v>1.5</v>
      </c>
      <c r="G218" s="15">
        <f>IF(OR(E218=0,F218=0),0,E218*0.5+F218*0.5)</f>
        <v>5.25</v>
      </c>
      <c r="H218" s="16">
        <v>39403</v>
      </c>
      <c r="I218" s="12" t="s">
        <v>18</v>
      </c>
      <c r="J218" s="12" t="s">
        <v>375</v>
      </c>
      <c r="K218" s="12" t="s">
        <v>20</v>
      </c>
      <c r="L218" s="14">
        <v>6.5</v>
      </c>
      <c r="M218" s="14">
        <v>7.5</v>
      </c>
      <c r="N218" s="14">
        <v>10</v>
      </c>
      <c r="O218" s="17">
        <f>ROUND(IF(OR(G218=0,L218=0,M218=0,N218=0),0, G218*0.5+L218*0.1+M218*0.2+N218*0.2), 1)</f>
        <v>6.8</v>
      </c>
    </row>
    <row r="219" spans="1:15" ht="15" customHeight="1" x14ac:dyDescent="0.25">
      <c r="A219" s="12">
        <v>210</v>
      </c>
      <c r="B219" s="12" t="s">
        <v>437</v>
      </c>
      <c r="C219" s="12" t="s">
        <v>442</v>
      </c>
      <c r="D219" s="13" t="s">
        <v>443</v>
      </c>
      <c r="E219" s="14">
        <v>5</v>
      </c>
      <c r="F219" s="14">
        <v>4.5</v>
      </c>
      <c r="G219" s="15">
        <f>IF(OR(E219=0,F219=0),0,E219*0.5+F219*0.5)</f>
        <v>4.75</v>
      </c>
      <c r="H219" s="16">
        <v>39107</v>
      </c>
      <c r="I219" s="12" t="s">
        <v>45</v>
      </c>
      <c r="J219" s="12" t="s">
        <v>166</v>
      </c>
      <c r="K219" s="12" t="s">
        <v>20</v>
      </c>
      <c r="L219" s="14">
        <v>9</v>
      </c>
      <c r="M219" s="14">
        <v>8.5</v>
      </c>
      <c r="N219" s="14">
        <v>9</v>
      </c>
      <c r="O219" s="17">
        <f>ROUND(IF(OR(G219=0,L219=0,M219=0,N219=0),0, G219*0.5+L219*0.1+M219*0.2+N219*0.2), 1)</f>
        <v>6.8</v>
      </c>
    </row>
    <row r="220" spans="1:15" ht="15" customHeight="1" x14ac:dyDescent="0.25">
      <c r="A220" s="12">
        <v>126</v>
      </c>
      <c r="B220" s="12" t="s">
        <v>236</v>
      </c>
      <c r="C220" s="12" t="s">
        <v>277</v>
      </c>
      <c r="D220" s="13" t="s">
        <v>278</v>
      </c>
      <c r="E220" s="14">
        <v>4.5</v>
      </c>
      <c r="F220" s="14">
        <v>6</v>
      </c>
      <c r="G220" s="15">
        <f>IF(OR(E220=0,F220=0),0,E220*0.5+F220*0.5)</f>
        <v>5.25</v>
      </c>
      <c r="H220" s="16">
        <v>39216</v>
      </c>
      <c r="I220" s="12" t="s">
        <v>70</v>
      </c>
      <c r="J220" s="12" t="s">
        <v>239</v>
      </c>
      <c r="K220" s="12" t="s">
        <v>20</v>
      </c>
      <c r="L220" s="14">
        <v>6.5</v>
      </c>
      <c r="M220" s="14">
        <v>7.5</v>
      </c>
      <c r="N220" s="14">
        <v>9.5</v>
      </c>
      <c r="O220" s="17">
        <f>ROUND(IF(OR(G220=0,L220=0,M220=0,N220=0),0, G220*0.5+L220*0.1+M220*0.2+N220*0.2), 1)</f>
        <v>6.7</v>
      </c>
    </row>
    <row r="221" spans="1:15" ht="15" customHeight="1" x14ac:dyDescent="0.25">
      <c r="A221" s="12">
        <v>3</v>
      </c>
      <c r="B221" s="12" t="s">
        <v>15</v>
      </c>
      <c r="C221" s="12" t="s">
        <v>24</v>
      </c>
      <c r="D221" s="13" t="s">
        <v>25</v>
      </c>
      <c r="E221" s="14">
        <v>6</v>
      </c>
      <c r="F221" s="14">
        <v>6</v>
      </c>
      <c r="G221" s="15">
        <f>IF(OR(E221=0,F221=0),0,E221*0.5+F221*0.5)</f>
        <v>6</v>
      </c>
      <c r="H221" s="16">
        <v>39194</v>
      </c>
      <c r="I221" s="12" t="s">
        <v>23</v>
      </c>
      <c r="J221" s="12" t="s">
        <v>19</v>
      </c>
      <c r="K221" s="12" t="s">
        <v>20</v>
      </c>
      <c r="L221" s="14">
        <v>7.5</v>
      </c>
      <c r="M221" s="14">
        <v>7.5</v>
      </c>
      <c r="N221" s="14">
        <v>7.1</v>
      </c>
      <c r="O221" s="17">
        <f>ROUND(IF(OR(G221=0,L221=0,M221=0,N221=0),0, G221*0.5+L221*0.1+M221*0.2+N221*0.2), 1)</f>
        <v>6.7</v>
      </c>
    </row>
    <row r="222" spans="1:15" ht="15" customHeight="1" x14ac:dyDescent="0.25">
      <c r="A222" s="12">
        <v>80</v>
      </c>
      <c r="B222" s="12" t="s">
        <v>163</v>
      </c>
      <c r="C222" s="12" t="s">
        <v>184</v>
      </c>
      <c r="D222" s="13" t="s">
        <v>185</v>
      </c>
      <c r="E222" s="14">
        <v>7.5</v>
      </c>
      <c r="F222" s="14">
        <v>4.5</v>
      </c>
      <c r="G222" s="15">
        <f>IF(OR(E222=0,F222=0),0,E222*0.5+F222*0.5)</f>
        <v>6</v>
      </c>
      <c r="H222" s="16">
        <v>39377</v>
      </c>
      <c r="I222" s="12" t="s">
        <v>70</v>
      </c>
      <c r="J222" s="12" t="s">
        <v>166</v>
      </c>
      <c r="K222" s="12" t="s">
        <v>20</v>
      </c>
      <c r="L222" s="14">
        <v>4.5</v>
      </c>
      <c r="M222" s="14">
        <v>7.5</v>
      </c>
      <c r="N222" s="14">
        <v>8.6999999999999993</v>
      </c>
      <c r="O222" s="17">
        <f>ROUND(IF(OR(G222=0,L222=0,M222=0,N222=0),0, G222*0.5+L222*0.1+M222*0.2+N222*0.2), 1)</f>
        <v>6.7</v>
      </c>
    </row>
    <row r="223" spans="1:15" ht="15" customHeight="1" x14ac:dyDescent="0.25">
      <c r="A223" s="12">
        <v>35</v>
      </c>
      <c r="B223" s="12" t="s">
        <v>15</v>
      </c>
      <c r="C223" s="12" t="s">
        <v>91</v>
      </c>
      <c r="D223" s="13" t="s">
        <v>92</v>
      </c>
      <c r="E223" s="14">
        <v>5.5</v>
      </c>
      <c r="F223" s="14">
        <v>4.5</v>
      </c>
      <c r="G223" s="15">
        <f>IF(OR(E223=0,F223=0),0,E223*0.5+F223*0.5)</f>
        <v>5</v>
      </c>
      <c r="H223" s="16">
        <v>39153</v>
      </c>
      <c r="I223" s="12" t="s">
        <v>70</v>
      </c>
      <c r="J223" s="12" t="s">
        <v>19</v>
      </c>
      <c r="K223" s="12" t="s">
        <v>20</v>
      </c>
      <c r="L223" s="14">
        <v>7</v>
      </c>
      <c r="M223" s="14">
        <v>8</v>
      </c>
      <c r="N223" s="14">
        <v>9.5</v>
      </c>
      <c r="O223" s="17">
        <f>ROUND(IF(OR(G223=0,L223=0,M223=0,N223=0),0, G223*0.5+L223*0.1+M223*0.2+N223*0.2), 1)</f>
        <v>6.7</v>
      </c>
    </row>
    <row r="224" spans="1:15" ht="15" customHeight="1" x14ac:dyDescent="0.25">
      <c r="A224" s="12">
        <v>73</v>
      </c>
      <c r="B224" s="12" t="s">
        <v>163</v>
      </c>
      <c r="C224" s="12" t="s">
        <v>171</v>
      </c>
      <c r="D224" s="13" t="s">
        <v>172</v>
      </c>
      <c r="E224" s="14">
        <v>5.5</v>
      </c>
      <c r="F224" s="14">
        <v>5.5</v>
      </c>
      <c r="G224" s="15">
        <f>IF(OR(E224=0,F224=0),0,E224*0.5+F224*0.5)</f>
        <v>5.5</v>
      </c>
      <c r="H224" s="16">
        <v>39116</v>
      </c>
      <c r="I224" s="12" t="s">
        <v>23</v>
      </c>
      <c r="J224" s="12" t="s">
        <v>166</v>
      </c>
      <c r="K224" s="12" t="s">
        <v>20</v>
      </c>
      <c r="L224" s="14">
        <v>8</v>
      </c>
      <c r="M224" s="14">
        <v>8</v>
      </c>
      <c r="N224" s="14">
        <v>7.7</v>
      </c>
      <c r="O224" s="17">
        <f>ROUND(IF(OR(G224=0,L224=0,M224=0,N224=0),0, G224*0.5+L224*0.1+M224*0.2+N224*0.2), 1)</f>
        <v>6.7</v>
      </c>
    </row>
    <row r="225" spans="1:15" ht="15" customHeight="1" x14ac:dyDescent="0.25">
      <c r="A225" s="12">
        <v>252</v>
      </c>
      <c r="B225" s="12" t="s">
        <v>498</v>
      </c>
      <c r="C225" s="18" t="s">
        <v>526</v>
      </c>
      <c r="D225" s="19" t="s">
        <v>527</v>
      </c>
      <c r="E225" s="20">
        <v>6</v>
      </c>
      <c r="F225" s="20">
        <v>4.5</v>
      </c>
      <c r="G225" s="21">
        <f>IF(OR(E225=0,F225=0),0,E225*0.5+F225*0.5)</f>
        <v>5.25</v>
      </c>
      <c r="H225" s="22">
        <v>39326</v>
      </c>
      <c r="I225" s="18" t="s">
        <v>70</v>
      </c>
      <c r="J225" s="18" t="s">
        <v>19</v>
      </c>
      <c r="K225" s="18" t="s">
        <v>20</v>
      </c>
      <c r="L225" s="14">
        <v>8</v>
      </c>
      <c r="M225" s="14">
        <v>7</v>
      </c>
      <c r="N225" s="14">
        <v>9.5</v>
      </c>
      <c r="O225" s="17">
        <f>ROUND(IF(OR(G225=0,L225=0,M225=0,N225=0),0, G225*0.5+L225*0.1+M225*0.2+N225*0.2), 1)</f>
        <v>6.7</v>
      </c>
    </row>
    <row r="226" spans="1:15" ht="15" customHeight="1" x14ac:dyDescent="0.25">
      <c r="A226" s="12">
        <v>251</v>
      </c>
      <c r="B226" s="12" t="s">
        <v>498</v>
      </c>
      <c r="C226" s="12" t="s">
        <v>524</v>
      </c>
      <c r="D226" s="13" t="s">
        <v>525</v>
      </c>
      <c r="E226" s="14">
        <v>5</v>
      </c>
      <c r="F226" s="14">
        <v>4.5</v>
      </c>
      <c r="G226" s="15">
        <f>IF(OR(E226=0,F226=0),0,E226*0.5+F226*0.5)</f>
        <v>4.75</v>
      </c>
      <c r="H226" s="16">
        <v>39284</v>
      </c>
      <c r="I226" s="12" t="s">
        <v>18</v>
      </c>
      <c r="J226" s="12" t="s">
        <v>19</v>
      </c>
      <c r="K226" s="12" t="s">
        <v>20</v>
      </c>
      <c r="L226" s="14">
        <v>10</v>
      </c>
      <c r="M226" s="14">
        <v>7</v>
      </c>
      <c r="N226" s="14">
        <v>9.5</v>
      </c>
      <c r="O226" s="17">
        <f>ROUND(IF(OR(G226=0,L226=0,M226=0,N226=0),0, G226*0.5+L226*0.1+M226*0.2+N226*0.2), 1)</f>
        <v>6.7</v>
      </c>
    </row>
    <row r="227" spans="1:15" ht="15" customHeight="1" x14ac:dyDescent="0.25">
      <c r="A227" s="12">
        <v>145</v>
      </c>
      <c r="B227" s="12" t="s">
        <v>306</v>
      </c>
      <c r="C227" s="12" t="s">
        <v>316</v>
      </c>
      <c r="D227" s="13" t="s">
        <v>317</v>
      </c>
      <c r="E227" s="14">
        <v>6</v>
      </c>
      <c r="F227" s="14">
        <v>2.5</v>
      </c>
      <c r="G227" s="15">
        <f>IF(OR(E227=0,F227=0),0,E227*0.5+F227*0.5)</f>
        <v>4.25</v>
      </c>
      <c r="H227" s="16">
        <v>39356</v>
      </c>
      <c r="I227" s="12" t="s">
        <v>70</v>
      </c>
      <c r="J227" s="12" t="s">
        <v>309</v>
      </c>
      <c r="K227" s="12" t="s">
        <v>20</v>
      </c>
      <c r="L227" s="14">
        <v>10</v>
      </c>
      <c r="M227" s="14">
        <v>9</v>
      </c>
      <c r="N227" s="14">
        <v>8.6999999999999993</v>
      </c>
      <c r="O227" s="17">
        <f>ROUND(IF(OR(G227=0,L227=0,M227=0,N227=0),0, G227*0.5+L227*0.1+M227*0.2+N227*0.2), 1)</f>
        <v>6.7</v>
      </c>
    </row>
    <row r="228" spans="1:15" ht="15" customHeight="1" x14ac:dyDescent="0.25">
      <c r="A228" s="12">
        <v>8</v>
      </c>
      <c r="B228" s="12" t="s">
        <v>15</v>
      </c>
      <c r="C228" s="12" t="s">
        <v>35</v>
      </c>
      <c r="D228" s="13" t="s">
        <v>36</v>
      </c>
      <c r="E228" s="14">
        <v>6</v>
      </c>
      <c r="F228" s="14">
        <v>6</v>
      </c>
      <c r="G228" s="15">
        <f>IF(OR(E228=0,F228=0),0,E228*0.5+F228*0.5)</f>
        <v>6</v>
      </c>
      <c r="H228" s="16">
        <v>39282</v>
      </c>
      <c r="I228" s="12" t="s">
        <v>18</v>
      </c>
      <c r="J228" s="12" t="s">
        <v>19</v>
      </c>
      <c r="K228" s="12" t="s">
        <v>20</v>
      </c>
      <c r="L228" s="14">
        <v>9</v>
      </c>
      <c r="M228" s="14">
        <v>6</v>
      </c>
      <c r="N228" s="14">
        <v>8.1999999999999993</v>
      </c>
      <c r="O228" s="17">
        <f>ROUND(IF(OR(G228=0,L228=0,M228=0,N228=0),0, G228*0.5+L228*0.1+M228*0.2+N228*0.2), 1)</f>
        <v>6.7</v>
      </c>
    </row>
    <row r="229" spans="1:15" ht="15" customHeight="1" x14ac:dyDescent="0.25">
      <c r="A229" s="12">
        <v>130</v>
      </c>
      <c r="B229" s="12" t="s">
        <v>236</v>
      </c>
      <c r="C229" s="12" t="s">
        <v>285</v>
      </c>
      <c r="D229" s="13" t="s">
        <v>286</v>
      </c>
      <c r="E229" s="14">
        <v>5</v>
      </c>
      <c r="F229" s="14">
        <v>4.5</v>
      </c>
      <c r="G229" s="15">
        <f>IF(OR(E229=0,F229=0),0,E229*0.5+F229*0.5)</f>
        <v>4.75</v>
      </c>
      <c r="H229" s="16">
        <v>39430</v>
      </c>
      <c r="I229" s="12" t="s">
        <v>23</v>
      </c>
      <c r="J229" s="12" t="s">
        <v>239</v>
      </c>
      <c r="K229" s="12" t="s">
        <v>20</v>
      </c>
      <c r="L229" s="14">
        <v>10</v>
      </c>
      <c r="M229" s="14">
        <v>7</v>
      </c>
      <c r="N229" s="14">
        <v>9</v>
      </c>
      <c r="O229" s="17">
        <f>ROUND(IF(OR(G229=0,L229=0,M229=0,N229=0),0, G229*0.5+L229*0.1+M229*0.2+N229*0.2), 1)</f>
        <v>6.6</v>
      </c>
    </row>
    <row r="230" spans="1:15" ht="15" customHeight="1" x14ac:dyDescent="0.25">
      <c r="A230" s="12">
        <v>36</v>
      </c>
      <c r="B230" s="12" t="s">
        <v>93</v>
      </c>
      <c r="C230" s="12" t="s">
        <v>94</v>
      </c>
      <c r="D230" s="13" t="s">
        <v>95</v>
      </c>
      <c r="E230" s="14">
        <v>4</v>
      </c>
      <c r="F230" s="14">
        <v>4.5</v>
      </c>
      <c r="G230" s="15">
        <f>IF(OR(E230=0,F230=0),0,E230*0.5+F230*0.5)</f>
        <v>4.25</v>
      </c>
      <c r="H230" s="16">
        <v>39347</v>
      </c>
      <c r="I230" s="12" t="s">
        <v>70</v>
      </c>
      <c r="J230" s="12" t="s">
        <v>96</v>
      </c>
      <c r="K230" s="12" t="s">
        <v>20</v>
      </c>
      <c r="L230" s="14">
        <v>10</v>
      </c>
      <c r="M230" s="14">
        <v>8</v>
      </c>
      <c r="N230" s="14">
        <v>9.1999999999999993</v>
      </c>
      <c r="O230" s="17">
        <f>ROUND(IF(OR(G230=0,L230=0,M230=0,N230=0),0, G230*0.5+L230*0.1+M230*0.2+N230*0.2), 1)</f>
        <v>6.6</v>
      </c>
    </row>
    <row r="231" spans="1:15" ht="15" customHeight="1" x14ac:dyDescent="0.25">
      <c r="A231" s="12">
        <v>170</v>
      </c>
      <c r="B231" s="12" t="s">
        <v>306</v>
      </c>
      <c r="C231" s="12" t="s">
        <v>367</v>
      </c>
      <c r="D231" s="13" t="s">
        <v>368</v>
      </c>
      <c r="E231" s="14">
        <v>7</v>
      </c>
      <c r="F231" s="14">
        <v>2.5</v>
      </c>
      <c r="G231" s="15">
        <f>IF(OR(E231=0,F231=0),0,E231*0.5+F231*0.5)</f>
        <v>4.75</v>
      </c>
      <c r="H231" s="16">
        <v>39331</v>
      </c>
      <c r="I231" s="12" t="s">
        <v>49</v>
      </c>
      <c r="J231" s="12" t="s">
        <v>309</v>
      </c>
      <c r="K231" s="12" t="s">
        <v>20</v>
      </c>
      <c r="L231" s="14">
        <v>9.5</v>
      </c>
      <c r="M231" s="14">
        <v>7</v>
      </c>
      <c r="N231" s="14">
        <v>9.5</v>
      </c>
      <c r="O231" s="17">
        <f>ROUND(IF(OR(G231=0,L231=0,M231=0,N231=0),0, G231*0.5+L231*0.1+M231*0.2+N231*0.2), 1)</f>
        <v>6.6</v>
      </c>
    </row>
    <row r="232" spans="1:15" ht="15" customHeight="1" x14ac:dyDescent="0.25">
      <c r="A232" s="12">
        <v>98</v>
      </c>
      <c r="B232" s="12" t="s">
        <v>163</v>
      </c>
      <c r="C232" s="12" t="s">
        <v>220</v>
      </c>
      <c r="D232" s="13" t="s">
        <v>221</v>
      </c>
      <c r="E232" s="14">
        <v>6</v>
      </c>
      <c r="F232" s="14">
        <v>4.5</v>
      </c>
      <c r="G232" s="15">
        <f>IF(OR(E232=0,F232=0),0,E232*0.5+F232*0.5)</f>
        <v>5.25</v>
      </c>
      <c r="H232" s="16">
        <v>39088</v>
      </c>
      <c r="I232" s="12" t="s">
        <v>23</v>
      </c>
      <c r="J232" s="12" t="s">
        <v>166</v>
      </c>
      <c r="K232" s="12" t="s">
        <v>20</v>
      </c>
      <c r="L232" s="14">
        <v>10</v>
      </c>
      <c r="M232" s="14">
        <v>7.5</v>
      </c>
      <c r="N232" s="14">
        <v>7.4</v>
      </c>
      <c r="O232" s="17">
        <f>ROUND(IF(OR(G232=0,L232=0,M232=0,N232=0),0, G232*0.5+L232*0.1+M232*0.2+N232*0.2), 1)</f>
        <v>6.6</v>
      </c>
    </row>
    <row r="233" spans="1:15" ht="15" customHeight="1" x14ac:dyDescent="0.25">
      <c r="A233" s="12">
        <v>156</v>
      </c>
      <c r="B233" s="12" t="s">
        <v>306</v>
      </c>
      <c r="C233" s="12" t="s">
        <v>339</v>
      </c>
      <c r="D233" s="13" t="s">
        <v>340</v>
      </c>
      <c r="E233" s="14">
        <v>6</v>
      </c>
      <c r="F233" s="14">
        <v>5.5</v>
      </c>
      <c r="G233" s="15">
        <f>IF(OR(E233=0,F233=0),0,E233*0.5+F233*0.5)</f>
        <v>5.75</v>
      </c>
      <c r="H233" s="16">
        <v>39073</v>
      </c>
      <c r="I233" s="12" t="s">
        <v>23</v>
      </c>
      <c r="J233" s="12" t="s">
        <v>309</v>
      </c>
      <c r="K233" s="12" t="s">
        <v>20</v>
      </c>
      <c r="L233" s="14">
        <v>7.5</v>
      </c>
      <c r="M233" s="14">
        <v>8.5</v>
      </c>
      <c r="N233" s="14">
        <v>6.2</v>
      </c>
      <c r="O233" s="17">
        <f>ROUND(IF(OR(G233=0,L233=0,M233=0,N233=0),0, G233*0.5+L233*0.1+M233*0.2+N233*0.2), 1)</f>
        <v>6.6</v>
      </c>
    </row>
    <row r="234" spans="1:15" ht="15" customHeight="1" x14ac:dyDescent="0.25">
      <c r="A234" s="12">
        <v>41</v>
      </c>
      <c r="B234" s="12" t="s">
        <v>93</v>
      </c>
      <c r="C234" s="12" t="s">
        <v>105</v>
      </c>
      <c r="D234" s="13" t="s">
        <v>106</v>
      </c>
      <c r="E234" s="14">
        <v>7</v>
      </c>
      <c r="F234" s="14">
        <v>2.5</v>
      </c>
      <c r="G234" s="15">
        <f>IF(OR(E234=0,F234=0),0,E234*0.5+F234*0.5)</f>
        <v>4.75</v>
      </c>
      <c r="H234" s="16">
        <v>39136</v>
      </c>
      <c r="I234" s="12" t="s">
        <v>70</v>
      </c>
      <c r="J234" s="12" t="s">
        <v>96</v>
      </c>
      <c r="K234" s="12" t="s">
        <v>20</v>
      </c>
      <c r="L234" s="14">
        <v>6</v>
      </c>
      <c r="M234" s="14">
        <v>8.5</v>
      </c>
      <c r="N234" s="14">
        <v>9</v>
      </c>
      <c r="O234" s="17">
        <f>ROUND(IF(OR(G234=0,L234=0,M234=0,N234=0),0, G234*0.5+L234*0.1+M234*0.2+N234*0.2), 1)</f>
        <v>6.5</v>
      </c>
    </row>
    <row r="235" spans="1:15" ht="15" customHeight="1" x14ac:dyDescent="0.25">
      <c r="A235" s="27">
        <v>24</v>
      </c>
      <c r="B235" s="27" t="s">
        <v>15</v>
      </c>
      <c r="C235" s="18" t="s">
        <v>68</v>
      </c>
      <c r="D235" s="19" t="s">
        <v>69</v>
      </c>
      <c r="E235" s="20">
        <v>6</v>
      </c>
      <c r="F235" s="20">
        <v>4.5</v>
      </c>
      <c r="G235" s="21">
        <f>IF(OR(E235=0,F235=0),0,E235*0.5+F235*0.5)</f>
        <v>5.25</v>
      </c>
      <c r="H235" s="22">
        <v>39096</v>
      </c>
      <c r="I235" s="18" t="s">
        <v>70</v>
      </c>
      <c r="J235" s="18" t="s">
        <v>19</v>
      </c>
      <c r="K235" s="18" t="s">
        <v>20</v>
      </c>
      <c r="L235" s="29">
        <v>8</v>
      </c>
      <c r="M235" s="29">
        <v>6.5</v>
      </c>
      <c r="N235" s="29">
        <v>9</v>
      </c>
      <c r="O235" s="17">
        <f>ROUND(IF(OR(G235=0,L235=0,M235=0,N235=0),0, G235*0.5+L235*0.1+M235*0.2+N235*0.2), 1)</f>
        <v>6.5</v>
      </c>
    </row>
    <row r="236" spans="1:15" ht="15" customHeight="1" x14ac:dyDescent="0.25">
      <c r="A236" s="12">
        <v>89</v>
      </c>
      <c r="B236" s="12" t="s">
        <v>163</v>
      </c>
      <c r="C236" s="12" t="s">
        <v>202</v>
      </c>
      <c r="D236" s="13" t="s">
        <v>203</v>
      </c>
      <c r="E236" s="14">
        <v>6</v>
      </c>
      <c r="F236" s="14">
        <v>4.5</v>
      </c>
      <c r="G236" s="15">
        <f>IF(OR(E236=0,F236=0),0,E236*0.5+F236*0.5)</f>
        <v>5.25</v>
      </c>
      <c r="H236" s="16">
        <v>39331</v>
      </c>
      <c r="I236" s="12" t="s">
        <v>45</v>
      </c>
      <c r="J236" s="12" t="s">
        <v>166</v>
      </c>
      <c r="K236" s="12" t="s">
        <v>20</v>
      </c>
      <c r="L236" s="14">
        <v>3.5</v>
      </c>
      <c r="M236" s="14">
        <v>8</v>
      </c>
      <c r="N236" s="14">
        <v>9.5</v>
      </c>
      <c r="O236" s="17">
        <f>ROUND(IF(OR(G236=0,L236=0,M236=0,N236=0),0, G236*0.5+L236*0.1+M236*0.2+N236*0.2), 1)</f>
        <v>6.5</v>
      </c>
    </row>
    <row r="237" spans="1:15" ht="15" customHeight="1" x14ac:dyDescent="0.25">
      <c r="A237" s="12">
        <v>123</v>
      </c>
      <c r="B237" s="12" t="s">
        <v>236</v>
      </c>
      <c r="C237" s="12" t="s">
        <v>271</v>
      </c>
      <c r="D237" s="13" t="s">
        <v>272</v>
      </c>
      <c r="E237" s="14">
        <v>5.5</v>
      </c>
      <c r="F237" s="14">
        <v>4.5</v>
      </c>
      <c r="G237" s="15">
        <f>IF(OR(E237=0,F237=0),0,E237*0.5+F237*0.5)</f>
        <v>5</v>
      </c>
      <c r="H237" s="16">
        <v>39122</v>
      </c>
      <c r="I237" s="12" t="s">
        <v>28</v>
      </c>
      <c r="J237" s="12" t="s">
        <v>239</v>
      </c>
      <c r="K237" s="12" t="s">
        <v>20</v>
      </c>
      <c r="L237" s="14">
        <v>10</v>
      </c>
      <c r="M237" s="14">
        <v>8</v>
      </c>
      <c r="N237" s="14">
        <v>7.1</v>
      </c>
      <c r="O237" s="17">
        <f>ROUND(IF(OR(G237=0,L237=0,M237=0,N237=0),0, G237*0.5+L237*0.1+M237*0.2+N237*0.2), 1)</f>
        <v>6.5</v>
      </c>
    </row>
    <row r="238" spans="1:15" ht="15" customHeight="1" x14ac:dyDescent="0.25">
      <c r="A238" s="12">
        <v>167</v>
      </c>
      <c r="B238" s="12" t="s">
        <v>306</v>
      </c>
      <c r="C238" s="12" t="s">
        <v>361</v>
      </c>
      <c r="D238" s="13" t="s">
        <v>362</v>
      </c>
      <c r="E238" s="14">
        <v>5</v>
      </c>
      <c r="F238" s="14">
        <v>2.5</v>
      </c>
      <c r="G238" s="15">
        <f>IF(OR(E238=0,F238=0),0,E238*0.5+F238*0.5)</f>
        <v>3.75</v>
      </c>
      <c r="H238" s="16">
        <v>39386</v>
      </c>
      <c r="I238" s="12" t="s">
        <v>70</v>
      </c>
      <c r="J238" s="12" t="s">
        <v>309</v>
      </c>
      <c r="K238" s="12" t="s">
        <v>20</v>
      </c>
      <c r="L238" s="14">
        <v>10</v>
      </c>
      <c r="M238" s="14">
        <v>8.5</v>
      </c>
      <c r="N238" s="14">
        <v>9.5</v>
      </c>
      <c r="O238" s="17">
        <f>ROUND(IF(OR(G238=0,L238=0,M238=0,N238=0),0, G238*0.5+L238*0.1+M238*0.2+N238*0.2), 1)</f>
        <v>6.5</v>
      </c>
    </row>
    <row r="239" spans="1:15" ht="15" customHeight="1" x14ac:dyDescent="0.25">
      <c r="A239" s="12">
        <v>214</v>
      </c>
      <c r="B239" s="12" t="s">
        <v>437</v>
      </c>
      <c r="C239" s="12" t="s">
        <v>450</v>
      </c>
      <c r="D239" s="13" t="s">
        <v>451</v>
      </c>
      <c r="E239" s="14">
        <v>7</v>
      </c>
      <c r="F239" s="14">
        <v>3.5</v>
      </c>
      <c r="G239" s="15">
        <f>IF(OR(E239=0,F239=0),0,E239*0.5+F239*0.5)</f>
        <v>5.25</v>
      </c>
      <c r="H239" s="16">
        <v>39141</v>
      </c>
      <c r="I239" s="12" t="s">
        <v>70</v>
      </c>
      <c r="J239" s="12" t="s">
        <v>166</v>
      </c>
      <c r="K239" s="12" t="s">
        <v>20</v>
      </c>
      <c r="L239" s="14">
        <v>5.5</v>
      </c>
      <c r="M239" s="14">
        <v>7.5</v>
      </c>
      <c r="N239" s="14">
        <v>9</v>
      </c>
      <c r="O239" s="17">
        <f>ROUND(IF(OR(G239=0,L239=0,M239=0,N239=0),0, G239*0.5+L239*0.1+M239*0.2+N239*0.2), 1)</f>
        <v>6.5</v>
      </c>
    </row>
    <row r="240" spans="1:15" ht="15" customHeight="1" x14ac:dyDescent="0.25">
      <c r="A240" s="12">
        <v>121</v>
      </c>
      <c r="B240" s="12" t="s">
        <v>236</v>
      </c>
      <c r="C240" s="12" t="s">
        <v>267</v>
      </c>
      <c r="D240" s="13" t="s">
        <v>268</v>
      </c>
      <c r="E240" s="14">
        <v>5.5</v>
      </c>
      <c r="F240" s="14">
        <v>4.5</v>
      </c>
      <c r="G240" s="15">
        <f>IF(OR(E240=0,F240=0),0,E240*0.5+F240*0.5)</f>
        <v>5</v>
      </c>
      <c r="H240" s="16">
        <v>39434</v>
      </c>
      <c r="I240" s="12" t="s">
        <v>28</v>
      </c>
      <c r="J240" s="12" t="s">
        <v>239</v>
      </c>
      <c r="K240" s="12" t="s">
        <v>20</v>
      </c>
      <c r="L240" s="14">
        <v>4.5</v>
      </c>
      <c r="M240" s="14">
        <v>8</v>
      </c>
      <c r="N240" s="14">
        <v>9</v>
      </c>
      <c r="O240" s="17">
        <f>ROUND(IF(OR(G240=0,L240=0,M240=0,N240=0),0, G240*0.5+L240*0.1+M240*0.2+N240*0.2), 1)</f>
        <v>6.4</v>
      </c>
    </row>
    <row r="241" spans="1:15" ht="15" customHeight="1" x14ac:dyDescent="0.25">
      <c r="A241" s="12">
        <v>83</v>
      </c>
      <c r="B241" s="12" t="s">
        <v>163</v>
      </c>
      <c r="C241" s="12" t="s">
        <v>190</v>
      </c>
      <c r="D241" s="13" t="s">
        <v>191</v>
      </c>
      <c r="E241" s="14">
        <v>7</v>
      </c>
      <c r="F241" s="14">
        <v>4.5</v>
      </c>
      <c r="G241" s="15">
        <f>IF(OR(E241=0,F241=0),0,E241*0.5+F241*0.5)</f>
        <v>5.75</v>
      </c>
      <c r="H241" s="16">
        <v>39276</v>
      </c>
      <c r="I241" s="12" t="s">
        <v>70</v>
      </c>
      <c r="J241" s="12" t="s">
        <v>166</v>
      </c>
      <c r="K241" s="12" t="s">
        <v>20</v>
      </c>
      <c r="L241" s="14">
        <v>3.5</v>
      </c>
      <c r="M241" s="14">
        <v>6.5</v>
      </c>
      <c r="N241" s="14">
        <v>9.3000000000000007</v>
      </c>
      <c r="O241" s="17">
        <f>ROUND(IF(OR(G241=0,L241=0,M241=0,N241=0),0, G241*0.5+L241*0.1+M241*0.2+N241*0.2), 1)</f>
        <v>6.4</v>
      </c>
    </row>
    <row r="242" spans="1:15" ht="15" customHeight="1" x14ac:dyDescent="0.25">
      <c r="A242" s="12">
        <v>82</v>
      </c>
      <c r="B242" s="12" t="s">
        <v>163</v>
      </c>
      <c r="C242" s="12" t="s">
        <v>188</v>
      </c>
      <c r="D242" s="13" t="s">
        <v>189</v>
      </c>
      <c r="E242" s="14">
        <v>5</v>
      </c>
      <c r="F242" s="14">
        <v>4.5</v>
      </c>
      <c r="G242" s="15">
        <f>IF(OR(E242=0,F242=0),0,E242*0.5+F242*0.5)</f>
        <v>4.75</v>
      </c>
      <c r="H242" s="16">
        <v>39110</v>
      </c>
      <c r="I242" s="12" t="s">
        <v>49</v>
      </c>
      <c r="J242" s="12" t="s">
        <v>166</v>
      </c>
      <c r="K242" s="12" t="s">
        <v>20</v>
      </c>
      <c r="L242" s="14">
        <v>6</v>
      </c>
      <c r="M242" s="14">
        <v>8</v>
      </c>
      <c r="N242" s="14">
        <v>9</v>
      </c>
      <c r="O242" s="17">
        <f>ROUND(IF(OR(G242=0,L242=0,M242=0,N242=0),0, G242*0.5+L242*0.1+M242*0.2+N242*0.2), 1)</f>
        <v>6.4</v>
      </c>
    </row>
    <row r="243" spans="1:15" ht="15" customHeight="1" x14ac:dyDescent="0.25">
      <c r="A243" s="12">
        <v>270</v>
      </c>
      <c r="B243" s="12" t="s">
        <v>498</v>
      </c>
      <c r="C243" s="12" t="s">
        <v>562</v>
      </c>
      <c r="D243" s="13" t="s">
        <v>563</v>
      </c>
      <c r="E243" s="14">
        <v>5.5</v>
      </c>
      <c r="F243" s="14">
        <v>4.5</v>
      </c>
      <c r="G243" s="15">
        <f>IF(OR(E243=0,F243=0),0,E243*0.5+F243*0.5)</f>
        <v>5</v>
      </c>
      <c r="H243" s="16">
        <v>39361</v>
      </c>
      <c r="I243" s="12" t="s">
        <v>18</v>
      </c>
      <c r="J243" s="12" t="s">
        <v>19</v>
      </c>
      <c r="K243" s="12" t="s">
        <v>20</v>
      </c>
      <c r="L243" s="14">
        <v>6.5</v>
      </c>
      <c r="M243" s="14">
        <v>6</v>
      </c>
      <c r="N243" s="14">
        <v>10</v>
      </c>
      <c r="O243" s="17">
        <f>ROUND(IF(OR(G243=0,L243=0,M243=0,N243=0),0, G243*0.5+L243*0.1+M243*0.2+N243*0.2), 1)</f>
        <v>6.4</v>
      </c>
    </row>
    <row r="244" spans="1:15" ht="15" customHeight="1" x14ac:dyDescent="0.25">
      <c r="A244" s="27">
        <v>34</v>
      </c>
      <c r="B244" s="27" t="s">
        <v>15</v>
      </c>
      <c r="C244" s="27" t="s">
        <v>89</v>
      </c>
      <c r="D244" s="28" t="s">
        <v>90</v>
      </c>
      <c r="E244" s="29">
        <v>5.5</v>
      </c>
      <c r="F244" s="29">
        <v>4.5</v>
      </c>
      <c r="G244" s="21">
        <f>IF(OR(E244=0,F244=0),0,E244*0.5+F244*0.5)</f>
        <v>5</v>
      </c>
      <c r="H244" s="30">
        <v>39346</v>
      </c>
      <c r="I244" s="27" t="s">
        <v>18</v>
      </c>
      <c r="J244" s="27" t="s">
        <v>19</v>
      </c>
      <c r="K244" s="27" t="s">
        <v>20</v>
      </c>
      <c r="L244" s="14">
        <v>8</v>
      </c>
      <c r="M244" s="14">
        <v>6.5</v>
      </c>
      <c r="N244" s="14">
        <v>9.1</v>
      </c>
      <c r="O244" s="17">
        <f>ROUND(IF(OR(G244=0,L244=0,M244=0,N244=0),0, G244*0.5+L244*0.1+M244*0.2+N244*0.2), 1)</f>
        <v>6.4</v>
      </c>
    </row>
    <row r="245" spans="1:15" ht="15" customHeight="1" x14ac:dyDescent="0.25">
      <c r="A245" s="12">
        <v>202</v>
      </c>
      <c r="B245" s="12" t="s">
        <v>373</v>
      </c>
      <c r="C245" s="12" t="s">
        <v>425</v>
      </c>
      <c r="D245" s="13" t="s">
        <v>426</v>
      </c>
      <c r="E245" s="14">
        <v>7.5</v>
      </c>
      <c r="F245" s="14">
        <v>2.5</v>
      </c>
      <c r="G245" s="15">
        <f>IF(OR(E245=0,F245=0),0,E245*0.5+F245*0.5)</f>
        <v>5</v>
      </c>
      <c r="H245" s="16">
        <v>39243</v>
      </c>
      <c r="I245" s="12" t="s">
        <v>28</v>
      </c>
      <c r="J245" s="12" t="s">
        <v>375</v>
      </c>
      <c r="K245" s="12" t="s">
        <v>20</v>
      </c>
      <c r="L245" s="14">
        <v>5.5</v>
      </c>
      <c r="M245" s="14">
        <v>7.5</v>
      </c>
      <c r="N245" s="14">
        <v>9.3000000000000007</v>
      </c>
      <c r="O245" s="17">
        <f>ROUND(IF(OR(G245=0,L245=0,M245=0,N245=0),0, G245*0.5+L245*0.1+M245*0.2+N245*0.2), 1)</f>
        <v>6.4</v>
      </c>
    </row>
    <row r="246" spans="1:15" ht="15" customHeight="1" x14ac:dyDescent="0.25">
      <c r="A246" s="12">
        <v>184</v>
      </c>
      <c r="B246" s="12" t="s">
        <v>373</v>
      </c>
      <c r="C246" s="12" t="s">
        <v>390</v>
      </c>
      <c r="D246" s="13" t="s">
        <v>391</v>
      </c>
      <c r="E246" s="14">
        <v>6</v>
      </c>
      <c r="F246" s="14">
        <v>1.5</v>
      </c>
      <c r="G246" s="15">
        <f>IF(OR(E246=0,F246=0),0,E246*0.5+F246*0.5)</f>
        <v>3.75</v>
      </c>
      <c r="H246" s="16">
        <v>39380</v>
      </c>
      <c r="I246" s="12" t="s">
        <v>70</v>
      </c>
      <c r="J246" s="12" t="s">
        <v>375</v>
      </c>
      <c r="K246" s="12" t="s">
        <v>20</v>
      </c>
      <c r="L246" s="14">
        <v>10</v>
      </c>
      <c r="M246" s="14">
        <v>7.5</v>
      </c>
      <c r="N246" s="14">
        <v>9.6</v>
      </c>
      <c r="O246" s="17">
        <f>ROUND(IF(OR(G246=0,L246=0,M246=0,N246=0),0, G246*0.5+L246*0.1+M246*0.2+N246*0.2), 1)</f>
        <v>6.3</v>
      </c>
    </row>
    <row r="247" spans="1:15" ht="15" customHeight="1" x14ac:dyDescent="0.25">
      <c r="A247" s="12">
        <v>250</v>
      </c>
      <c r="B247" s="12" t="s">
        <v>498</v>
      </c>
      <c r="C247" s="12" t="s">
        <v>522</v>
      </c>
      <c r="D247" s="13" t="s">
        <v>523</v>
      </c>
      <c r="E247" s="14">
        <v>5</v>
      </c>
      <c r="F247" s="14">
        <v>6</v>
      </c>
      <c r="G247" s="15">
        <f>IF(OR(E247=0,F247=0),0,E247*0.5+F247*0.5)</f>
        <v>5.5</v>
      </c>
      <c r="H247" s="16">
        <v>39181</v>
      </c>
      <c r="I247" s="12" t="s">
        <v>23</v>
      </c>
      <c r="J247" s="12" t="s">
        <v>19</v>
      </c>
      <c r="K247" s="12" t="s">
        <v>20</v>
      </c>
      <c r="L247" s="14">
        <v>8</v>
      </c>
      <c r="M247" s="14">
        <v>7</v>
      </c>
      <c r="N247" s="14">
        <v>6.8</v>
      </c>
      <c r="O247" s="17">
        <f>ROUND(IF(OR(G247=0,L247=0,M247=0,N247=0),0, G247*0.5+L247*0.1+M247*0.2+N247*0.2), 1)</f>
        <v>6.3</v>
      </c>
    </row>
    <row r="248" spans="1:15" ht="15" customHeight="1" x14ac:dyDescent="0.25">
      <c r="A248" s="12">
        <v>125</v>
      </c>
      <c r="B248" s="12" t="s">
        <v>236</v>
      </c>
      <c r="C248" s="12" t="s">
        <v>275</v>
      </c>
      <c r="D248" s="13" t="s">
        <v>276</v>
      </c>
      <c r="E248" s="14">
        <v>4.5</v>
      </c>
      <c r="F248" s="14">
        <v>6.5</v>
      </c>
      <c r="G248" s="15">
        <f>IF(OR(E248=0,F248=0),0,E248*0.5+F248*0.5)</f>
        <v>5.5</v>
      </c>
      <c r="H248" s="16">
        <v>39346</v>
      </c>
      <c r="I248" s="12" t="s">
        <v>18</v>
      </c>
      <c r="J248" s="12" t="s">
        <v>239</v>
      </c>
      <c r="K248" s="12" t="s">
        <v>20</v>
      </c>
      <c r="L248" s="14">
        <v>6.5</v>
      </c>
      <c r="M248" s="14">
        <v>7.5</v>
      </c>
      <c r="N248" s="14">
        <v>7</v>
      </c>
      <c r="O248" s="17">
        <f>ROUND(IF(OR(G248=0,L248=0,M248=0,N248=0),0, G248*0.5+L248*0.1+M248*0.2+N248*0.2), 1)</f>
        <v>6.3</v>
      </c>
    </row>
    <row r="249" spans="1:15" ht="15" customHeight="1" x14ac:dyDescent="0.25">
      <c r="A249" s="12">
        <v>275</v>
      </c>
      <c r="B249" s="12" t="s">
        <v>498</v>
      </c>
      <c r="C249" s="12" t="s">
        <v>572</v>
      </c>
      <c r="D249" s="13" t="s">
        <v>573</v>
      </c>
      <c r="E249" s="14">
        <v>7</v>
      </c>
      <c r="F249" s="14">
        <v>4.5</v>
      </c>
      <c r="G249" s="15">
        <f>IF(OR(E249=0,F249=0),0,E249*0.5+F249*0.5)</f>
        <v>5.75</v>
      </c>
      <c r="H249" s="16">
        <v>39395</v>
      </c>
      <c r="I249" s="12" t="s">
        <v>18</v>
      </c>
      <c r="J249" s="12" t="s">
        <v>19</v>
      </c>
      <c r="K249" s="12" t="s">
        <v>20</v>
      </c>
      <c r="L249" s="14">
        <v>7</v>
      </c>
      <c r="M249" s="14">
        <v>5.5</v>
      </c>
      <c r="N249" s="14">
        <v>8.1999999999999993</v>
      </c>
      <c r="O249" s="17">
        <f>ROUND(IF(OR(G249=0,L249=0,M249=0,N249=0),0, G249*0.5+L249*0.1+M249*0.2+N249*0.2), 1)</f>
        <v>6.3</v>
      </c>
    </row>
    <row r="250" spans="1:15" ht="15" customHeight="1" x14ac:dyDescent="0.25">
      <c r="A250" s="12">
        <v>18</v>
      </c>
      <c r="B250" s="12" t="s">
        <v>15</v>
      </c>
      <c r="C250" s="12" t="s">
        <v>56</v>
      </c>
      <c r="D250" s="13" t="s">
        <v>57</v>
      </c>
      <c r="E250" s="14">
        <v>5</v>
      </c>
      <c r="F250" s="14">
        <v>4.5</v>
      </c>
      <c r="G250" s="15">
        <f>IF(OR(E250=0,F250=0),0,E250*0.5+F250*0.5)</f>
        <v>4.75</v>
      </c>
      <c r="H250" s="16">
        <v>39084</v>
      </c>
      <c r="I250" s="12" t="s">
        <v>18</v>
      </c>
      <c r="J250" s="12" t="s">
        <v>19</v>
      </c>
      <c r="K250" s="12" t="s">
        <v>20</v>
      </c>
      <c r="L250" s="14">
        <v>6.5</v>
      </c>
      <c r="M250" s="14">
        <v>7</v>
      </c>
      <c r="N250" s="14">
        <v>9.5</v>
      </c>
      <c r="O250" s="17">
        <f>ROUND(IF(OR(G250=0,L250=0,M250=0,N250=0),0, G250*0.5+L250*0.1+M250*0.2+N250*0.2), 1)</f>
        <v>6.3</v>
      </c>
    </row>
    <row r="251" spans="1:15" ht="15" customHeight="1" x14ac:dyDescent="0.25">
      <c r="A251" s="12">
        <v>206</v>
      </c>
      <c r="B251" s="12" t="s">
        <v>373</v>
      </c>
      <c r="C251" s="12" t="s">
        <v>433</v>
      </c>
      <c r="D251" s="13" t="s">
        <v>434</v>
      </c>
      <c r="E251" s="14">
        <v>6.5</v>
      </c>
      <c r="F251" s="14">
        <v>1</v>
      </c>
      <c r="G251" s="15">
        <f>IF(OR(E251=0,F251=0),0,E251*0.5+F251*0.5)</f>
        <v>3.75</v>
      </c>
      <c r="H251" s="16">
        <v>39389</v>
      </c>
      <c r="I251" s="12" t="s">
        <v>18</v>
      </c>
      <c r="J251" s="12" t="s">
        <v>375</v>
      </c>
      <c r="K251" s="12" t="s">
        <v>20</v>
      </c>
      <c r="L251" s="14">
        <v>8</v>
      </c>
      <c r="M251" s="14">
        <v>7.5</v>
      </c>
      <c r="N251" s="14">
        <v>10</v>
      </c>
      <c r="O251" s="17">
        <f>ROUND(IF(OR(G251=0,L251=0,M251=0,N251=0),0, G251*0.5+L251*0.1+M251*0.2+N251*0.2), 1)</f>
        <v>6.2</v>
      </c>
    </row>
    <row r="252" spans="1:15" ht="15" customHeight="1" x14ac:dyDescent="0.25">
      <c r="A252" s="12">
        <v>249</v>
      </c>
      <c r="B252" s="12" t="s">
        <v>498</v>
      </c>
      <c r="C252" s="12" t="s">
        <v>520</v>
      </c>
      <c r="D252" s="13" t="s">
        <v>521</v>
      </c>
      <c r="E252" s="14">
        <v>7.5</v>
      </c>
      <c r="F252" s="14">
        <v>1.5</v>
      </c>
      <c r="G252" s="15">
        <f>IF(OR(E252=0,F252=0),0,E252*0.5+F252*0.5)</f>
        <v>4.5</v>
      </c>
      <c r="H252" s="16">
        <v>39414</v>
      </c>
      <c r="I252" s="12" t="s">
        <v>70</v>
      </c>
      <c r="J252" s="12" t="s">
        <v>19</v>
      </c>
      <c r="K252" s="12" t="s">
        <v>20</v>
      </c>
      <c r="L252" s="14">
        <v>4.5</v>
      </c>
      <c r="M252" s="14">
        <v>8</v>
      </c>
      <c r="N252" s="14">
        <v>9.5</v>
      </c>
      <c r="O252" s="17">
        <f>ROUND(IF(OR(G252=0,L252=0,M252=0,N252=0),0, G252*0.5+L252*0.1+M252*0.2+N252*0.2), 1)</f>
        <v>6.2</v>
      </c>
    </row>
    <row r="253" spans="1:15" ht="15" customHeight="1" x14ac:dyDescent="0.25">
      <c r="A253" s="12">
        <v>107</v>
      </c>
      <c r="B253" s="12" t="s">
        <v>236</v>
      </c>
      <c r="C253" s="12" t="s">
        <v>240</v>
      </c>
      <c r="D253" s="13" t="s">
        <v>241</v>
      </c>
      <c r="E253" s="14">
        <v>5</v>
      </c>
      <c r="F253" s="14">
        <v>4.5</v>
      </c>
      <c r="G253" s="15">
        <f>IF(OR(E253=0,F253=0),0,E253*0.5+F253*0.5)</f>
        <v>4.75</v>
      </c>
      <c r="H253" s="16">
        <v>39088</v>
      </c>
      <c r="I253" s="12" t="s">
        <v>18</v>
      </c>
      <c r="J253" s="12" t="s">
        <v>239</v>
      </c>
      <c r="K253" s="12" t="s">
        <v>20</v>
      </c>
      <c r="L253" s="14">
        <v>4.5</v>
      </c>
      <c r="M253" s="14">
        <v>7.5</v>
      </c>
      <c r="N253" s="14">
        <v>8.9</v>
      </c>
      <c r="O253" s="17">
        <f>ROUND(IF(OR(G253=0,L253=0,M253=0,N253=0),0, G253*0.5+L253*0.1+M253*0.2+N253*0.2), 1)</f>
        <v>6.1</v>
      </c>
    </row>
    <row r="254" spans="1:15" ht="15" customHeight="1" x14ac:dyDescent="0.25">
      <c r="A254" s="12">
        <v>90</v>
      </c>
      <c r="B254" s="12" t="s">
        <v>163</v>
      </c>
      <c r="C254" s="12" t="s">
        <v>204</v>
      </c>
      <c r="D254" s="13" t="s">
        <v>205</v>
      </c>
      <c r="E254" s="14">
        <v>5</v>
      </c>
      <c r="F254" s="14">
        <v>4.5</v>
      </c>
      <c r="G254" s="15">
        <f>IF(OR(E254=0,F254=0),0,E254*0.5+F254*0.5)</f>
        <v>4.75</v>
      </c>
      <c r="H254" s="16">
        <v>39154</v>
      </c>
      <c r="I254" s="12" t="s">
        <v>70</v>
      </c>
      <c r="J254" s="12" t="s">
        <v>166</v>
      </c>
      <c r="K254" s="12" t="s">
        <v>20</v>
      </c>
      <c r="L254" s="14">
        <v>4.5</v>
      </c>
      <c r="M254" s="14">
        <v>7.5</v>
      </c>
      <c r="N254" s="14">
        <v>8.1999999999999993</v>
      </c>
      <c r="O254" s="17">
        <f>ROUND(IF(OR(G254=0,L254=0,M254=0,N254=0),0, G254*0.5+L254*0.1+M254*0.2+N254*0.2), 1)</f>
        <v>6</v>
      </c>
    </row>
    <row r="255" spans="1:15" ht="15" customHeight="1" x14ac:dyDescent="0.25">
      <c r="A255" s="12">
        <v>135</v>
      </c>
      <c r="B255" s="12" t="s">
        <v>236</v>
      </c>
      <c r="C255" s="18" t="s">
        <v>294</v>
      </c>
      <c r="D255" s="19" t="s">
        <v>295</v>
      </c>
      <c r="E255" s="20">
        <v>5</v>
      </c>
      <c r="F255" s="20">
        <v>4.5</v>
      </c>
      <c r="G255" s="21">
        <f>IF(OR(E255=0,F255=0),0,E255*0.5+F255*0.5)</f>
        <v>4.75</v>
      </c>
      <c r="H255" s="22">
        <v>39434</v>
      </c>
      <c r="I255" s="18" t="s">
        <v>23</v>
      </c>
      <c r="J255" s="18" t="s">
        <v>239</v>
      </c>
      <c r="K255" s="18" t="s">
        <v>20</v>
      </c>
      <c r="L255" s="14">
        <v>4.5</v>
      </c>
      <c r="M255" s="14">
        <v>7.5</v>
      </c>
      <c r="N255" s="14">
        <v>8.1999999999999993</v>
      </c>
      <c r="O255" s="17">
        <f>ROUND(IF(OR(G255=0,L255=0,M255=0,N255=0),0, G255*0.5+L255*0.1+M255*0.2+N255*0.2), 1)</f>
        <v>6</v>
      </c>
    </row>
    <row r="256" spans="1:15" ht="15" customHeight="1" x14ac:dyDescent="0.25">
      <c r="A256" s="12">
        <v>279</v>
      </c>
      <c r="B256" s="12" t="s">
        <v>498</v>
      </c>
      <c r="C256" s="12" t="s">
        <v>580</v>
      </c>
      <c r="D256" s="13" t="s">
        <v>581</v>
      </c>
      <c r="E256" s="14">
        <v>8</v>
      </c>
      <c r="F256" s="14">
        <v>1</v>
      </c>
      <c r="G256" s="15">
        <f>IF(OR(E256=0,F256=0),0,E256*0.5+F256*0.5)</f>
        <v>4.5</v>
      </c>
      <c r="H256" s="16">
        <v>39386</v>
      </c>
      <c r="I256" s="12" t="s">
        <v>45</v>
      </c>
      <c r="J256" s="12" t="s">
        <v>239</v>
      </c>
      <c r="K256" s="12" t="s">
        <v>20</v>
      </c>
      <c r="L256" s="14">
        <v>5.5</v>
      </c>
      <c r="M256" s="14">
        <v>8</v>
      </c>
      <c r="N256" s="14">
        <v>8.1</v>
      </c>
      <c r="O256" s="17">
        <f>ROUND(IF(OR(G256=0,L256=0,M256=0,N256=0),0, G256*0.5+L256*0.1+M256*0.2+N256*0.2), 1)</f>
        <v>6</v>
      </c>
    </row>
    <row r="257" spans="1:15" ht="15" customHeight="1" x14ac:dyDescent="0.25">
      <c r="A257" s="12">
        <v>88</v>
      </c>
      <c r="B257" s="12" t="s">
        <v>163</v>
      </c>
      <c r="C257" s="12" t="s">
        <v>200</v>
      </c>
      <c r="D257" s="13" t="s">
        <v>201</v>
      </c>
      <c r="E257" s="14">
        <v>6.5</v>
      </c>
      <c r="F257" s="14">
        <v>1</v>
      </c>
      <c r="G257" s="15">
        <f>IF(OR(E257=0,F257=0),0,E257*0.5+F257*0.5)</f>
        <v>3.75</v>
      </c>
      <c r="H257" s="16">
        <v>39182</v>
      </c>
      <c r="I257" s="12" t="s">
        <v>23</v>
      </c>
      <c r="J257" s="12" t="s">
        <v>166</v>
      </c>
      <c r="K257" s="12" t="s">
        <v>20</v>
      </c>
      <c r="L257" s="14">
        <v>8</v>
      </c>
      <c r="M257" s="14">
        <v>7.5</v>
      </c>
      <c r="N257" s="14">
        <v>8.6</v>
      </c>
      <c r="O257" s="17">
        <f>ROUND(IF(OR(G257=0,L257=0,M257=0,N257=0),0, G257*0.5+L257*0.1+M257*0.2+N257*0.2), 1)</f>
        <v>5.9</v>
      </c>
    </row>
    <row r="258" spans="1:15" ht="15" customHeight="1" x14ac:dyDescent="0.25">
      <c r="A258" s="12">
        <v>243</v>
      </c>
      <c r="B258" s="12" t="s">
        <v>498</v>
      </c>
      <c r="C258" s="12" t="s">
        <v>508</v>
      </c>
      <c r="D258" s="13" t="s">
        <v>509</v>
      </c>
      <c r="E258" s="14">
        <v>5.5</v>
      </c>
      <c r="F258" s="14">
        <v>4.5</v>
      </c>
      <c r="G258" s="15">
        <f>IF(OR(E258=0,F258=0),0,E258*0.5+F258*0.5)</f>
        <v>5</v>
      </c>
      <c r="H258" s="16">
        <v>39354</v>
      </c>
      <c r="I258" s="12" t="s">
        <v>28</v>
      </c>
      <c r="J258" s="12" t="s">
        <v>375</v>
      </c>
      <c r="K258" s="12" t="s">
        <v>20</v>
      </c>
      <c r="L258" s="14">
        <v>5.5</v>
      </c>
      <c r="M258" s="14">
        <v>8.5</v>
      </c>
      <c r="N258" s="14">
        <v>5.4</v>
      </c>
      <c r="O258" s="17">
        <f>ROUND(IF(OR(G258=0,L258=0,M258=0,N258=0),0, G258*0.5+L258*0.1+M258*0.2+N258*0.2), 1)</f>
        <v>5.8</v>
      </c>
    </row>
    <row r="259" spans="1:15" ht="15" customHeight="1" x14ac:dyDescent="0.25">
      <c r="A259" s="12">
        <v>97</v>
      </c>
      <c r="B259" s="12" t="s">
        <v>163</v>
      </c>
      <c r="C259" s="12" t="s">
        <v>218</v>
      </c>
      <c r="D259" s="13" t="s">
        <v>219</v>
      </c>
      <c r="E259" s="14">
        <v>5.5</v>
      </c>
      <c r="F259" s="14">
        <v>4.5</v>
      </c>
      <c r="G259" s="15">
        <f>IF(OR(E259=0,F259=0),0,E259*0.5+F259*0.5)</f>
        <v>5</v>
      </c>
      <c r="H259" s="16">
        <v>39385</v>
      </c>
      <c r="I259" s="12" t="s">
        <v>28</v>
      </c>
      <c r="J259" s="12" t="s">
        <v>166</v>
      </c>
      <c r="K259" s="12" t="s">
        <v>20</v>
      </c>
      <c r="L259" s="14">
        <v>4.5</v>
      </c>
      <c r="M259" s="14">
        <v>8.5</v>
      </c>
      <c r="N259" s="14">
        <v>4.5</v>
      </c>
      <c r="O259" s="17">
        <f>ROUND(IF(OR(G259=0,L259=0,M259=0,N259=0),0, G259*0.5+L259*0.1+M259*0.2+N259*0.2), 1)</f>
        <v>5.6</v>
      </c>
    </row>
    <row r="260" spans="1:15" ht="15" customHeight="1" x14ac:dyDescent="0.25">
      <c r="A260" s="12">
        <v>222</v>
      </c>
      <c r="B260" s="12" t="s">
        <v>437</v>
      </c>
      <c r="C260" s="12" t="s">
        <v>466</v>
      </c>
      <c r="D260" s="13" t="s">
        <v>467</v>
      </c>
      <c r="E260" s="14">
        <v>4.5</v>
      </c>
      <c r="F260" s="14">
        <v>3.5</v>
      </c>
      <c r="G260" s="15">
        <f>IF(OR(E260=0,F260=0),0,E260*0.5+F260*0.5)</f>
        <v>4</v>
      </c>
      <c r="H260" s="16">
        <v>39243</v>
      </c>
      <c r="I260" s="12" t="s">
        <v>70</v>
      </c>
      <c r="J260" s="12" t="s">
        <v>166</v>
      </c>
      <c r="K260" s="12" t="s">
        <v>20</v>
      </c>
      <c r="L260" s="14">
        <v>3.5</v>
      </c>
      <c r="M260" s="14">
        <v>8</v>
      </c>
      <c r="N260" s="14">
        <v>8.1999999999999993</v>
      </c>
      <c r="O260" s="17">
        <f>ROUND(IF(OR(G260=0,L260=0,M260=0,N260=0),0, G260*0.5+L260*0.1+M260*0.2+N260*0.2), 1)</f>
        <v>5.6</v>
      </c>
    </row>
    <row r="261" spans="1:15" ht="15" customHeight="1" x14ac:dyDescent="0.25">
      <c r="A261" s="12">
        <v>181</v>
      </c>
      <c r="B261" s="12" t="s">
        <v>373</v>
      </c>
      <c r="C261" s="12" t="s">
        <v>384</v>
      </c>
      <c r="D261" s="13" t="s">
        <v>385</v>
      </c>
      <c r="E261" s="14">
        <v>7</v>
      </c>
      <c r="F261" s="14">
        <v>1</v>
      </c>
      <c r="G261" s="15">
        <f>IF(OR(E261=0,F261=0),0,E261*0.5+F261*0.5)</f>
        <v>4</v>
      </c>
      <c r="H261" s="16">
        <v>39166</v>
      </c>
      <c r="I261" s="12" t="s">
        <v>18</v>
      </c>
      <c r="J261" s="12" t="s">
        <v>375</v>
      </c>
      <c r="K261" s="12" t="s">
        <v>20</v>
      </c>
      <c r="L261" s="14">
        <v>4.5</v>
      </c>
      <c r="M261" s="14">
        <v>7</v>
      </c>
      <c r="N261" s="14">
        <v>8.4</v>
      </c>
      <c r="O261" s="17">
        <f>ROUND(IF(OR(G261=0,L261=0,M261=0,N261=0),0, G261*0.5+L261*0.1+M261*0.2+N261*0.2), 1)</f>
        <v>5.5</v>
      </c>
    </row>
    <row r="262" spans="1:15" ht="15" customHeight="1" x14ac:dyDescent="0.25">
      <c r="A262" s="12">
        <v>272</v>
      </c>
      <c r="B262" s="12" t="s">
        <v>498</v>
      </c>
      <c r="C262" s="12" t="s">
        <v>566</v>
      </c>
      <c r="D262" s="13" t="s">
        <v>567</v>
      </c>
      <c r="E262" s="14">
        <v>4</v>
      </c>
      <c r="F262" s="14">
        <v>4.5</v>
      </c>
      <c r="G262" s="15">
        <f>IF(OR(E262=0,F262=0),0,E262*0.5+F262*0.5)</f>
        <v>4.25</v>
      </c>
      <c r="H262" s="16">
        <v>39084</v>
      </c>
      <c r="I262" s="12" t="s">
        <v>18</v>
      </c>
      <c r="J262" s="12" t="s">
        <v>239</v>
      </c>
      <c r="K262" s="12" t="s">
        <v>20</v>
      </c>
      <c r="L262" s="14">
        <v>1.5</v>
      </c>
      <c r="M262" s="14">
        <v>7</v>
      </c>
      <c r="N262" s="14">
        <v>9</v>
      </c>
      <c r="O262" s="17">
        <f>ROUND(IF(OR(G262=0,L262=0,M262=0,N262=0),0, G262*0.5+L262*0.1+M262*0.2+N262*0.2), 1)</f>
        <v>5.5</v>
      </c>
    </row>
    <row r="263" spans="1:15" ht="15" customHeight="1" x14ac:dyDescent="0.25">
      <c r="A263" s="12">
        <v>281</v>
      </c>
      <c r="B263" s="12" t="s">
        <v>498</v>
      </c>
      <c r="C263" s="12" t="s">
        <v>584</v>
      </c>
      <c r="D263" s="13" t="s">
        <v>585</v>
      </c>
      <c r="E263" s="14">
        <v>4.5</v>
      </c>
      <c r="F263" s="14">
        <v>1.5</v>
      </c>
      <c r="G263" s="15">
        <f>IF(OR(E263=0,F263=0),0,E263*0.5+F263*0.5)</f>
        <v>3</v>
      </c>
      <c r="H263" s="16">
        <v>39307</v>
      </c>
      <c r="I263" s="12" t="s">
        <v>28</v>
      </c>
      <c r="J263" s="12" t="s">
        <v>239</v>
      </c>
      <c r="K263" s="12" t="s">
        <v>20</v>
      </c>
      <c r="L263" s="14">
        <v>6.5</v>
      </c>
      <c r="M263" s="14">
        <v>8</v>
      </c>
      <c r="N263" s="14">
        <v>8.6999999999999993</v>
      </c>
      <c r="O263" s="17">
        <f>ROUND(IF(OR(G263=0,L263=0,M263=0,N263=0),0, G263*0.5+L263*0.1+M263*0.2+N263*0.2), 1)</f>
        <v>5.5</v>
      </c>
    </row>
    <row r="264" spans="1:15" ht="15" customHeight="1" x14ac:dyDescent="0.25">
      <c r="A264" s="12">
        <v>246</v>
      </c>
      <c r="B264" s="12" t="s">
        <v>498</v>
      </c>
      <c r="C264" s="12" t="s">
        <v>514</v>
      </c>
      <c r="D264" s="13" t="s">
        <v>515</v>
      </c>
      <c r="E264" s="14">
        <v>6</v>
      </c>
      <c r="F264" s="14">
        <v>1.5</v>
      </c>
      <c r="G264" s="15">
        <f>IF(OR(E264=0,F264=0),0,E264*0.5+F264*0.5)</f>
        <v>3.75</v>
      </c>
      <c r="H264" s="16">
        <v>39343</v>
      </c>
      <c r="I264" s="12" t="s">
        <v>28</v>
      </c>
      <c r="J264" s="12" t="s">
        <v>19</v>
      </c>
      <c r="K264" s="12" t="s">
        <v>20</v>
      </c>
      <c r="L264" s="14">
        <v>4.5</v>
      </c>
      <c r="M264" s="14">
        <v>8</v>
      </c>
      <c r="N264" s="14">
        <v>8.1</v>
      </c>
      <c r="O264" s="17">
        <f>ROUND(IF(OR(G264=0,L264=0,M264=0,N264=0),0, G264*0.5+L264*0.1+M264*0.2+N264*0.2), 1)</f>
        <v>5.5</v>
      </c>
    </row>
    <row r="265" spans="1:15" ht="15" customHeight="1" x14ac:dyDescent="0.25">
      <c r="A265" s="12">
        <v>6</v>
      </c>
      <c r="B265" s="12" t="s">
        <v>15</v>
      </c>
      <c r="C265" s="12" t="s">
        <v>31</v>
      </c>
      <c r="D265" s="13" t="s">
        <v>32</v>
      </c>
      <c r="E265" s="14">
        <v>4.5</v>
      </c>
      <c r="F265" s="14">
        <v>4.5</v>
      </c>
      <c r="G265" s="15">
        <f>IF(OR(E265=0,F265=0),0,E265*0.5+F265*0.5)</f>
        <v>4.5</v>
      </c>
      <c r="H265" s="16">
        <v>39194</v>
      </c>
      <c r="I265" s="12" t="s">
        <v>18</v>
      </c>
      <c r="J265" s="12" t="s">
        <v>19</v>
      </c>
      <c r="K265" s="12" t="s">
        <v>20</v>
      </c>
      <c r="L265" s="14">
        <v>1.5</v>
      </c>
      <c r="M265" s="14">
        <v>7</v>
      </c>
      <c r="N265" s="14">
        <v>7.2</v>
      </c>
      <c r="O265" s="17">
        <f>ROUND(IF(OR(G265=0,L265=0,M265=0,N265=0),0, G265*0.5+L265*0.1+M265*0.2+N265*0.2), 1)</f>
        <v>5.2</v>
      </c>
    </row>
    <row r="266" spans="1:15" ht="15" customHeight="1" x14ac:dyDescent="0.25">
      <c r="A266" s="12">
        <v>192</v>
      </c>
      <c r="B266" s="12" t="s">
        <v>373</v>
      </c>
      <c r="C266" s="12" t="s">
        <v>406</v>
      </c>
      <c r="D266" s="13" t="s">
        <v>44</v>
      </c>
      <c r="E266" s="14">
        <v>6.5</v>
      </c>
      <c r="F266" s="14">
        <v>1</v>
      </c>
      <c r="G266" s="15">
        <f>IF(OR(E266=0,F266=0),0,E266*0.5+F266*0.5)</f>
        <v>3.75</v>
      </c>
      <c r="H266" s="16">
        <v>39166</v>
      </c>
      <c r="I266" s="12" t="s">
        <v>28</v>
      </c>
      <c r="J266" s="12" t="s">
        <v>375</v>
      </c>
      <c r="K266" s="12" t="s">
        <v>20</v>
      </c>
      <c r="L266" s="14">
        <v>5.5</v>
      </c>
      <c r="M266" s="14">
        <v>7.5</v>
      </c>
      <c r="N266" s="14">
        <v>5</v>
      </c>
      <c r="O266" s="17">
        <f>ROUND(IF(OR(G266=0,L266=0,M266=0,N266=0),0, G266*0.5+L266*0.1+M266*0.2+N266*0.2), 1)</f>
        <v>4.9000000000000004</v>
      </c>
    </row>
    <row r="267" spans="1:15" ht="15" customHeight="1" x14ac:dyDescent="0.25">
      <c r="A267" s="12">
        <v>105</v>
      </c>
      <c r="B267" s="12" t="s">
        <v>163</v>
      </c>
      <c r="C267" s="12" t="s">
        <v>234</v>
      </c>
      <c r="D267" s="13" t="s">
        <v>235</v>
      </c>
      <c r="E267" s="14">
        <v>4</v>
      </c>
      <c r="F267" s="14">
        <v>4.5</v>
      </c>
      <c r="G267" s="15">
        <f>IF(OR(E267=0,F267=0),0,E267*0.5+F267*0.5)</f>
        <v>4.25</v>
      </c>
      <c r="H267" s="16">
        <v>39126</v>
      </c>
      <c r="I267" s="12" t="s">
        <v>45</v>
      </c>
      <c r="J267" s="12" t="s">
        <v>166</v>
      </c>
      <c r="K267" s="12" t="s">
        <v>20</v>
      </c>
      <c r="L267" s="14">
        <v>1.5</v>
      </c>
      <c r="M267" s="14">
        <v>7.5</v>
      </c>
      <c r="N267" s="14">
        <v>5.7</v>
      </c>
      <c r="O267" s="17">
        <f>ROUND(IF(OR(G267=0,L267=0,M267=0,N267=0),0, G267*0.5+L267*0.1+M267*0.2+N267*0.2), 1)</f>
        <v>4.9000000000000004</v>
      </c>
    </row>
    <row r="268" spans="1:15" ht="15" customHeight="1" x14ac:dyDescent="0.25">
      <c r="A268" s="12">
        <v>247</v>
      </c>
      <c r="B268" s="12" t="s">
        <v>498</v>
      </c>
      <c r="C268" s="12" t="s">
        <v>516</v>
      </c>
      <c r="D268" s="13" t="s">
        <v>517</v>
      </c>
      <c r="E268" s="14">
        <v>4.5</v>
      </c>
      <c r="F268" s="14">
        <v>6</v>
      </c>
      <c r="G268" s="15">
        <f>IF(OR(E268=0,F268=0),0,E268*0.5+F268*0.5)</f>
        <v>5.25</v>
      </c>
      <c r="H268" s="16">
        <v>39109</v>
      </c>
      <c r="I268" s="12" t="s">
        <v>49</v>
      </c>
      <c r="J268" s="12" t="s">
        <v>375</v>
      </c>
      <c r="K268" s="12" t="s">
        <v>20</v>
      </c>
      <c r="L268" s="14">
        <v>3.5</v>
      </c>
      <c r="M268" s="14">
        <v>7.5</v>
      </c>
      <c r="N268" s="14">
        <v>2</v>
      </c>
      <c r="O268" s="17">
        <f>ROUND(IF(OR(G268=0,L268=0,M268=0,N268=0),0, G268*0.5+L268*0.1+M268*0.2+N268*0.2), 1)</f>
        <v>4.9000000000000004</v>
      </c>
    </row>
    <row r="269" spans="1:15" ht="15" customHeight="1" x14ac:dyDescent="0.25">
      <c r="A269" s="12">
        <v>15</v>
      </c>
      <c r="B269" s="12" t="s">
        <v>15</v>
      </c>
      <c r="C269" s="12" t="s">
        <v>50</v>
      </c>
      <c r="D269" s="13" t="s">
        <v>51</v>
      </c>
      <c r="E269" s="14">
        <v>4</v>
      </c>
      <c r="F269" s="14">
        <v>1</v>
      </c>
      <c r="G269" s="15">
        <f>IF(OR(E269=0,F269=0),0,E269*0.5+F269*0.5)</f>
        <v>2.5</v>
      </c>
      <c r="H269" s="16">
        <v>39423</v>
      </c>
      <c r="I269" s="12" t="s">
        <v>49</v>
      </c>
      <c r="J269" s="12" t="s">
        <v>19</v>
      </c>
      <c r="K269" s="12" t="s">
        <v>20</v>
      </c>
      <c r="L269" s="14">
        <v>3.5</v>
      </c>
      <c r="M269" s="14">
        <v>7</v>
      </c>
      <c r="N269" s="14">
        <v>8.5</v>
      </c>
      <c r="O269" s="17">
        <f>ROUND(IF(OR(G269=0,L269=0,M269=0,N269=0),0, G269*0.5+L269*0.1+M269*0.2+N269*0.2), 1)</f>
        <v>4.7</v>
      </c>
    </row>
    <row r="270" spans="1:15" ht="15" customHeight="1" x14ac:dyDescent="0.25">
      <c r="A270" s="12">
        <v>40</v>
      </c>
      <c r="B270" s="12" t="s">
        <v>93</v>
      </c>
      <c r="C270" s="12" t="s">
        <v>103</v>
      </c>
      <c r="D270" s="13" t="s">
        <v>104</v>
      </c>
      <c r="E270" s="14">
        <v>6</v>
      </c>
      <c r="F270" s="14">
        <v>1</v>
      </c>
      <c r="G270" s="15">
        <f>IF(OR(E270=0,F270=0),0,E270*0.5+F270*0.5)</f>
        <v>3.5</v>
      </c>
      <c r="H270" s="16">
        <v>39298</v>
      </c>
      <c r="I270" s="12" t="s">
        <v>70</v>
      </c>
      <c r="J270" s="12" t="s">
        <v>96</v>
      </c>
      <c r="K270" s="12" t="s">
        <v>20</v>
      </c>
      <c r="L270" s="14">
        <v>4.5</v>
      </c>
      <c r="M270" s="14">
        <v>1.5</v>
      </c>
      <c r="N270" s="14">
        <v>7.4</v>
      </c>
      <c r="O270" s="17">
        <f>ROUND(IF(OR(G270=0,L270=0,M270=0,N270=0),0, G270*0.5+L270*0.1+M270*0.2+N270*0.2), 1)</f>
        <v>4</v>
      </c>
    </row>
    <row r="271" spans="1:15" ht="15" customHeight="1" x14ac:dyDescent="0.25">
      <c r="A271" s="12">
        <v>151</v>
      </c>
      <c r="B271" s="12" t="s">
        <v>306</v>
      </c>
      <c r="C271" s="12" t="s">
        <v>328</v>
      </c>
      <c r="D271" s="13" t="s">
        <v>329</v>
      </c>
      <c r="E271" s="14">
        <v>0</v>
      </c>
      <c r="F271" s="14">
        <v>0</v>
      </c>
      <c r="G271" s="15">
        <f>IF(OR(E271=0,F271=0),0,E271*0.5+F271*0.5)</f>
        <v>0</v>
      </c>
      <c r="H271" s="16">
        <v>38573</v>
      </c>
      <c r="I271" s="12" t="s">
        <v>330</v>
      </c>
      <c r="J271" s="12" t="s">
        <v>309</v>
      </c>
      <c r="K271" s="12" t="s">
        <v>20</v>
      </c>
      <c r="L271" s="14">
        <v>0</v>
      </c>
      <c r="M271" s="14">
        <v>0</v>
      </c>
      <c r="N271" s="14">
        <v>0</v>
      </c>
      <c r="O271" s="17">
        <f>ROUND(IF(OR(G271=0,L271=0,M271=0,N271=0),0, G271*0.5+L271*0.1+M271*0.2+N271*0.2), 1)</f>
        <v>0</v>
      </c>
    </row>
    <row r="272" spans="1:15" ht="15" customHeight="1" x14ac:dyDescent="0.25">
      <c r="A272" s="27">
        <v>199</v>
      </c>
      <c r="B272" s="27" t="s">
        <v>373</v>
      </c>
      <c r="C272" s="27" t="s">
        <v>419</v>
      </c>
      <c r="D272" s="28" t="s">
        <v>420</v>
      </c>
      <c r="E272" s="29">
        <v>5</v>
      </c>
      <c r="F272" s="29">
        <v>0</v>
      </c>
      <c r="G272" s="21">
        <f>IF(OR(E272=0,F272=0),0,E272*0.5+F272*0.5)</f>
        <v>0</v>
      </c>
      <c r="H272" s="30">
        <v>39110</v>
      </c>
      <c r="I272" s="27" t="s">
        <v>23</v>
      </c>
      <c r="J272" s="27" t="s">
        <v>375</v>
      </c>
      <c r="K272" s="27" t="s">
        <v>20</v>
      </c>
      <c r="L272" s="29">
        <v>10</v>
      </c>
      <c r="M272" s="29">
        <v>7.5</v>
      </c>
      <c r="N272" s="29">
        <v>6.9</v>
      </c>
      <c r="O272" s="17">
        <f>ROUND(IF(OR(G272=0,L272=0,M272=0,N272=0),0, G272*0.5+L272*0.1+M272*0.2+N272*0.2), 1)</f>
        <v>0</v>
      </c>
    </row>
    <row r="273" spans="1:15" ht="15" customHeight="1" x14ac:dyDescent="0.25">
      <c r="A273" s="23">
        <v>287</v>
      </c>
      <c r="B273" s="23" t="s">
        <v>596</v>
      </c>
      <c r="C273" s="23" t="s">
        <v>597</v>
      </c>
      <c r="D273" s="24" t="s">
        <v>598</v>
      </c>
      <c r="E273" s="25">
        <v>0</v>
      </c>
      <c r="F273" s="25">
        <v>0</v>
      </c>
      <c r="G273" s="21">
        <f>IF(OR(E273=0,F273=0),0,E273*0.5+F273*0.5)</f>
        <v>0</v>
      </c>
      <c r="H273" s="26">
        <v>39431</v>
      </c>
      <c r="I273" s="23" t="s">
        <v>70</v>
      </c>
      <c r="J273" s="23" t="s">
        <v>239</v>
      </c>
      <c r="K273" s="23" t="s">
        <v>20</v>
      </c>
      <c r="L273" s="29">
        <v>0.5</v>
      </c>
      <c r="M273" s="29">
        <v>7.5</v>
      </c>
      <c r="N273" s="29">
        <v>0.5</v>
      </c>
      <c r="O273" s="17">
        <f>ROUND(IF(OR(G273=0,L273=0,M273=0,N273=0),0, G273*0.5+L273*0.1+M273*0.2+N273*0.2), 1)</f>
        <v>0</v>
      </c>
    </row>
    <row r="274" spans="1:15" ht="15" customHeight="1" x14ac:dyDescent="0.25">
      <c r="A274" s="12">
        <v>160</v>
      </c>
      <c r="B274" s="12" t="s">
        <v>306</v>
      </c>
      <c r="C274" s="12" t="s">
        <v>347</v>
      </c>
      <c r="D274" s="13" t="s">
        <v>348</v>
      </c>
      <c r="E274" s="14">
        <v>8.5</v>
      </c>
      <c r="F274" s="14">
        <v>0</v>
      </c>
      <c r="G274" s="15">
        <f>IF(OR(E274=0,F274=0),0,E274*0.5+F274*0.5)</f>
        <v>0</v>
      </c>
      <c r="H274" s="16">
        <v>39173</v>
      </c>
      <c r="I274" s="12" t="s">
        <v>18</v>
      </c>
      <c r="J274" s="12" t="s">
        <v>309</v>
      </c>
      <c r="K274" s="12" t="s">
        <v>20</v>
      </c>
      <c r="L274" s="14">
        <v>10</v>
      </c>
      <c r="M274" s="14">
        <v>7</v>
      </c>
      <c r="N274" s="14">
        <v>9</v>
      </c>
      <c r="O274" s="17">
        <f>ROUND(IF(OR(G274=0,L274=0,M274=0,N274=0),0, G274*0.5+L274*0.1+M274*0.2+N274*0.2), 1)</f>
        <v>0</v>
      </c>
    </row>
    <row r="275" spans="1:15" ht="15" customHeight="1" x14ac:dyDescent="0.25">
      <c r="A275" s="12">
        <v>118</v>
      </c>
      <c r="B275" s="12" t="s">
        <v>236</v>
      </c>
      <c r="C275" s="12" t="s">
        <v>261</v>
      </c>
      <c r="D275" s="13" t="s">
        <v>262</v>
      </c>
      <c r="E275" s="14">
        <v>5</v>
      </c>
      <c r="F275" s="14">
        <v>0</v>
      </c>
      <c r="G275" s="15">
        <f>IF(OR(E275=0,F275=0),0,E275*0.5+F275*0.5)</f>
        <v>0</v>
      </c>
      <c r="H275" s="16">
        <v>39322</v>
      </c>
      <c r="I275" s="12" t="s">
        <v>18</v>
      </c>
      <c r="J275" s="12" t="s">
        <v>239</v>
      </c>
      <c r="K275" s="12" t="s">
        <v>20</v>
      </c>
      <c r="L275" s="14">
        <v>4.5</v>
      </c>
      <c r="M275" s="14">
        <v>6.5</v>
      </c>
      <c r="N275" s="14">
        <v>7.5</v>
      </c>
      <c r="O275" s="17">
        <f>ROUND(IF(OR(G275=0,L275=0,M275=0,N275=0),0, G275*0.5+L275*0.1+M275*0.2+N275*0.2), 1)</f>
        <v>0</v>
      </c>
    </row>
    <row r="276" spans="1:15" ht="15" customHeight="1" x14ac:dyDescent="0.25">
      <c r="A276" s="12">
        <v>158</v>
      </c>
      <c r="B276" s="12" t="s">
        <v>306</v>
      </c>
      <c r="C276" s="12" t="s">
        <v>343</v>
      </c>
      <c r="D276" s="13" t="s">
        <v>344</v>
      </c>
      <c r="E276" s="14">
        <v>4</v>
      </c>
      <c r="F276" s="14">
        <v>0</v>
      </c>
      <c r="G276" s="15">
        <f>IF(OR(E276=0,F276=0),0,E276*0.5+F276*0.5)</f>
        <v>0</v>
      </c>
      <c r="H276" s="16">
        <v>38275</v>
      </c>
      <c r="I276" s="12" t="s">
        <v>28</v>
      </c>
      <c r="J276" s="12" t="s">
        <v>309</v>
      </c>
      <c r="K276" s="12" t="s">
        <v>20</v>
      </c>
      <c r="L276" s="14">
        <v>10</v>
      </c>
      <c r="M276" s="14">
        <v>7</v>
      </c>
      <c r="N276" s="14">
        <v>8.9</v>
      </c>
      <c r="O276" s="17">
        <f>ROUND(IF(OR(G276=0,L276=0,M276=0,N276=0),0, G276*0.5+L276*0.1+M276*0.2+N276*0.2), 1)</f>
        <v>0</v>
      </c>
    </row>
    <row r="277" spans="1:15" ht="15" customHeight="1" x14ac:dyDescent="0.25">
      <c r="A277" s="12">
        <v>62</v>
      </c>
      <c r="B277" s="12" t="s">
        <v>93</v>
      </c>
      <c r="C277" s="12" t="s">
        <v>147</v>
      </c>
      <c r="D277" s="13" t="s">
        <v>148</v>
      </c>
      <c r="E277" s="14">
        <v>0</v>
      </c>
      <c r="F277" s="14">
        <v>0</v>
      </c>
      <c r="G277" s="15">
        <f>IF(OR(E277=0,F277=0),0,E277*0.5+F277*0.5)</f>
        <v>0</v>
      </c>
      <c r="H277" s="16">
        <v>39364</v>
      </c>
      <c r="I277" s="12" t="s">
        <v>49</v>
      </c>
      <c r="J277" s="12" t="s">
        <v>96</v>
      </c>
      <c r="K277" s="12" t="s">
        <v>20</v>
      </c>
      <c r="L277" s="14">
        <v>1.5</v>
      </c>
      <c r="M277" s="14">
        <v>7</v>
      </c>
      <c r="N277" s="14">
        <v>8.1999999999999993</v>
      </c>
      <c r="O277" s="17">
        <f>ROUND(IF(OR(G277=0,L277=0,M277=0,N277=0),0, G277*0.5+L277*0.1+M277*0.2+N277*0.2), 1)</f>
        <v>0</v>
      </c>
    </row>
    <row r="278" spans="1:15" ht="15" customHeight="1" x14ac:dyDescent="0.25">
      <c r="A278" s="23">
        <v>288</v>
      </c>
      <c r="B278" s="23" t="s">
        <v>596</v>
      </c>
      <c r="C278" s="23" t="s">
        <v>599</v>
      </c>
      <c r="D278" s="24" t="s">
        <v>600</v>
      </c>
      <c r="E278" s="25">
        <v>0</v>
      </c>
      <c r="F278" s="25">
        <v>0</v>
      </c>
      <c r="G278" s="21">
        <f>IF(OR(E278=0,F278=0),0,E278*0.5+F278*0.5)</f>
        <v>0</v>
      </c>
      <c r="H278" s="26">
        <v>39177</v>
      </c>
      <c r="I278" s="23" t="s">
        <v>18</v>
      </c>
      <c r="J278" s="23" t="s">
        <v>166</v>
      </c>
      <c r="K278" s="23" t="s">
        <v>20</v>
      </c>
      <c r="L278" s="29">
        <v>0.5</v>
      </c>
      <c r="M278" s="29">
        <v>0</v>
      </c>
      <c r="N278" s="29">
        <v>0.5</v>
      </c>
      <c r="O278" s="17">
        <f>ROUND(IF(OR(G278=0,L278=0,M278=0,N278=0),0, G278*0.5+L278*0.1+M278*0.2+N278*0.2), 1)</f>
        <v>0</v>
      </c>
    </row>
    <row r="279" spans="1:15" ht="15" customHeight="1" x14ac:dyDescent="0.25">
      <c r="A279" s="12">
        <v>201</v>
      </c>
      <c r="B279" s="12" t="s">
        <v>373</v>
      </c>
      <c r="C279" s="12" t="s">
        <v>423</v>
      </c>
      <c r="D279" s="13" t="s">
        <v>424</v>
      </c>
      <c r="E279" s="14">
        <v>6</v>
      </c>
      <c r="F279" s="14">
        <v>0</v>
      </c>
      <c r="G279" s="15">
        <f>IF(OR(E279=0,F279=0),0,E279*0.5+F279*0.5)</f>
        <v>0</v>
      </c>
      <c r="H279" s="16">
        <v>39403</v>
      </c>
      <c r="I279" s="12" t="s">
        <v>23</v>
      </c>
      <c r="J279" s="12" t="s">
        <v>375</v>
      </c>
      <c r="K279" s="12" t="s">
        <v>20</v>
      </c>
      <c r="L279" s="14">
        <v>7</v>
      </c>
      <c r="M279" s="14">
        <v>7.5</v>
      </c>
      <c r="N279" s="14">
        <v>10</v>
      </c>
      <c r="O279" s="17">
        <f>ROUND(IF(OR(G279=0,L279=0,M279=0,N279=0),0, G279*0.5+L279*0.1+M279*0.2+N279*0.2), 1)</f>
        <v>0</v>
      </c>
    </row>
    <row r="280" spans="1:15" ht="15" customHeight="1" x14ac:dyDescent="0.25">
      <c r="A280" s="12">
        <v>163</v>
      </c>
      <c r="B280" s="12" t="s">
        <v>306</v>
      </c>
      <c r="C280" s="12" t="s">
        <v>353</v>
      </c>
      <c r="D280" s="13" t="s">
        <v>354</v>
      </c>
      <c r="E280" s="14">
        <v>0</v>
      </c>
      <c r="F280" s="14">
        <v>0</v>
      </c>
      <c r="G280" s="15">
        <f>IF(OR(E280=0,F280=0),0,E280*0.5+F280*0.5)</f>
        <v>0</v>
      </c>
      <c r="H280" s="16">
        <v>39088</v>
      </c>
      <c r="I280" s="12" t="s">
        <v>23</v>
      </c>
      <c r="J280" s="12" t="s">
        <v>309</v>
      </c>
      <c r="K280" s="12" t="s">
        <v>20</v>
      </c>
      <c r="L280" s="14">
        <v>0</v>
      </c>
      <c r="M280" s="14">
        <v>0</v>
      </c>
      <c r="N280" s="14">
        <v>0</v>
      </c>
      <c r="O280" s="17">
        <f>ROUND(IF(OR(G280=0,L280=0,M280=0,N280=0),0, G280*0.5+L280*0.1+M280*0.2+N280*0.2), 1)</f>
        <v>0</v>
      </c>
    </row>
    <row r="281" spans="1:15" ht="15" customHeight="1" x14ac:dyDescent="0.25">
      <c r="A281" s="12">
        <v>241</v>
      </c>
      <c r="B281" s="12" t="s">
        <v>498</v>
      </c>
      <c r="C281" s="12" t="s">
        <v>504</v>
      </c>
      <c r="D281" s="13" t="s">
        <v>505</v>
      </c>
      <c r="E281" s="14">
        <v>7.5</v>
      </c>
      <c r="F281" s="14">
        <v>0</v>
      </c>
      <c r="G281" s="15">
        <f>IF(OR(E281=0,F281=0),0,E281*0.5+F281*0.5)</f>
        <v>0</v>
      </c>
      <c r="H281" s="16">
        <v>39148</v>
      </c>
      <c r="I281" s="12" t="s">
        <v>18</v>
      </c>
      <c r="J281" s="12" t="s">
        <v>19</v>
      </c>
      <c r="K281" s="12" t="s">
        <v>20</v>
      </c>
      <c r="L281" s="14">
        <v>10</v>
      </c>
      <c r="M281" s="14">
        <v>8.5</v>
      </c>
      <c r="N281" s="14">
        <v>8.6</v>
      </c>
      <c r="O281" s="17">
        <f>ROUND(IF(OR(G281=0,L281=0,M281=0,N281=0),0, G281*0.5+L281*0.1+M281*0.2+N281*0.2), 1)</f>
        <v>0</v>
      </c>
    </row>
    <row r="282" spans="1:15" ht="15" customHeight="1" x14ac:dyDescent="0.25">
      <c r="A282" s="12">
        <v>185</v>
      </c>
      <c r="B282" s="12" t="s">
        <v>373</v>
      </c>
      <c r="C282" s="12" t="s">
        <v>392</v>
      </c>
      <c r="D282" s="13" t="s">
        <v>393</v>
      </c>
      <c r="E282" s="14">
        <v>7.5</v>
      </c>
      <c r="F282" s="14">
        <v>0</v>
      </c>
      <c r="G282" s="15">
        <f>IF(OR(E282=0,F282=0),0,E282*0.5+F282*0.5)</f>
        <v>0</v>
      </c>
      <c r="H282" s="16">
        <v>39424</v>
      </c>
      <c r="I282" s="12" t="s">
        <v>28</v>
      </c>
      <c r="J282" s="12" t="s">
        <v>375</v>
      </c>
      <c r="K282" s="12" t="s">
        <v>20</v>
      </c>
      <c r="L282" s="14">
        <v>7</v>
      </c>
      <c r="M282" s="14">
        <v>7.5</v>
      </c>
      <c r="N282" s="14">
        <v>10</v>
      </c>
      <c r="O282" s="17">
        <f>ROUND(IF(OR(G282=0,L282=0,M282=0,N282=0),0, G282*0.5+L282*0.1+M282*0.2+N282*0.2), 1)</f>
        <v>0</v>
      </c>
    </row>
    <row r="283" spans="1:15" ht="15" customHeight="1" x14ac:dyDescent="0.25">
      <c r="A283" s="12">
        <v>74</v>
      </c>
      <c r="B283" s="12" t="s">
        <v>163</v>
      </c>
      <c r="C283" s="12" t="s">
        <v>173</v>
      </c>
      <c r="D283" s="13" t="s">
        <v>174</v>
      </c>
      <c r="E283" s="14">
        <v>0</v>
      </c>
      <c r="F283" s="14">
        <v>0</v>
      </c>
      <c r="G283" s="15">
        <f>IF(OR(E283=0,F283=0),0,E283*0.5+F283*0.5)</f>
        <v>0</v>
      </c>
      <c r="H283" s="16">
        <v>39200</v>
      </c>
      <c r="I283" s="12" t="s">
        <v>49</v>
      </c>
      <c r="J283" s="12" t="s">
        <v>166</v>
      </c>
      <c r="K283" s="12" t="s">
        <v>20</v>
      </c>
      <c r="L283" s="14">
        <v>7</v>
      </c>
      <c r="M283" s="14">
        <v>7</v>
      </c>
      <c r="N283" s="14">
        <v>8.6999999999999993</v>
      </c>
      <c r="O283" s="17">
        <f>ROUND(IF(OR(G283=0,L283=0,M283=0,N283=0),0, G283*0.5+L283*0.1+M283*0.2+N283*0.2), 1)</f>
        <v>0</v>
      </c>
    </row>
    <row r="284" spans="1:15" ht="15" customHeight="1" x14ac:dyDescent="0.25">
      <c r="A284" s="12">
        <v>109</v>
      </c>
      <c r="B284" s="12" t="s">
        <v>236</v>
      </c>
      <c r="C284" s="12" t="s">
        <v>244</v>
      </c>
      <c r="D284" s="13" t="s">
        <v>245</v>
      </c>
      <c r="E284" s="14">
        <v>0</v>
      </c>
      <c r="F284" s="14">
        <v>0</v>
      </c>
      <c r="G284" s="15">
        <f>IF(OR(E284=0,F284=0),0,E284*0.5+F284*0.5)</f>
        <v>0</v>
      </c>
      <c r="H284" s="16">
        <v>39381</v>
      </c>
      <c r="I284" s="12" t="s">
        <v>23</v>
      </c>
      <c r="J284" s="12" t="s">
        <v>239</v>
      </c>
      <c r="K284" s="12" t="s">
        <v>20</v>
      </c>
      <c r="L284" s="14">
        <v>1.5</v>
      </c>
      <c r="M284" s="14">
        <v>1</v>
      </c>
      <c r="N284" s="14">
        <v>6.5</v>
      </c>
      <c r="O284" s="17">
        <f>ROUND(IF(OR(G284=0,L284=0,M284=0,N284=0),0, G284*0.5+L284*0.1+M284*0.2+N284*0.2), 1)</f>
        <v>0</v>
      </c>
    </row>
    <row r="285" spans="1:15" ht="15" customHeight="1" x14ac:dyDescent="0.25">
      <c r="A285" s="12">
        <v>274</v>
      </c>
      <c r="B285" s="12" t="s">
        <v>498</v>
      </c>
      <c r="C285" s="12" t="s">
        <v>570</v>
      </c>
      <c r="D285" s="13" t="s">
        <v>571</v>
      </c>
      <c r="E285" s="14">
        <v>0</v>
      </c>
      <c r="F285" s="14">
        <v>0</v>
      </c>
      <c r="G285" s="15">
        <f>IF(OR(E285=0,F285=0),0,E285*0.5+F285*0.5)</f>
        <v>0</v>
      </c>
      <c r="H285" s="16">
        <v>39166</v>
      </c>
      <c r="I285" s="12" t="s">
        <v>45</v>
      </c>
      <c r="J285" s="12" t="s">
        <v>375</v>
      </c>
      <c r="K285" s="12" t="s">
        <v>20</v>
      </c>
      <c r="L285" s="14">
        <v>10</v>
      </c>
      <c r="M285" s="14">
        <v>7.5</v>
      </c>
      <c r="N285" s="14">
        <v>7.7</v>
      </c>
      <c r="O285" s="17">
        <f>ROUND(IF(OR(G285=0,L285=0,M285=0,N285=0),0, G285*0.5+L285*0.1+M285*0.2+N285*0.2), 1)</f>
        <v>0</v>
      </c>
    </row>
    <row r="286" spans="1:15" ht="15" customHeight="1" x14ac:dyDescent="0.25">
      <c r="A286" s="12">
        <v>157</v>
      </c>
      <c r="B286" s="12" t="s">
        <v>306</v>
      </c>
      <c r="C286" s="12" t="s">
        <v>341</v>
      </c>
      <c r="D286" s="13" t="s">
        <v>342</v>
      </c>
      <c r="E286" s="14">
        <v>0</v>
      </c>
      <c r="F286" s="14">
        <v>0</v>
      </c>
      <c r="G286" s="15">
        <f>IF(OR(E286=0,F286=0),0,E286*0.5+F286*0.5)</f>
        <v>0</v>
      </c>
      <c r="H286" s="16">
        <v>39305</v>
      </c>
      <c r="I286" s="12" t="s">
        <v>49</v>
      </c>
      <c r="J286" s="12" t="s">
        <v>309</v>
      </c>
      <c r="K286" s="12" t="s">
        <v>20</v>
      </c>
      <c r="L286" s="14">
        <v>0</v>
      </c>
      <c r="M286" s="14">
        <v>0</v>
      </c>
      <c r="N286" s="14">
        <v>0</v>
      </c>
      <c r="O286" s="17">
        <f>ROUND(IF(OR(G286=0,L286=0,M286=0,N286=0),0, G286*0.5+L286*0.1+M286*0.2+N286*0.2), 1)</f>
        <v>0</v>
      </c>
    </row>
    <row r="287" spans="1:15" ht="15" customHeight="1" x14ac:dyDescent="0.25">
      <c r="A287" s="12">
        <v>147</v>
      </c>
      <c r="B287" s="12" t="s">
        <v>306</v>
      </c>
      <c r="C287" s="12" t="s">
        <v>320</v>
      </c>
      <c r="D287" s="13" t="s">
        <v>321</v>
      </c>
      <c r="E287" s="14">
        <v>0</v>
      </c>
      <c r="F287" s="14">
        <v>0</v>
      </c>
      <c r="G287" s="15">
        <f>IF(OR(E287=0,F287=0),0,E287*0.5+F287*0.5)</f>
        <v>0</v>
      </c>
      <c r="H287" s="16">
        <v>39155</v>
      </c>
      <c r="I287" s="12" t="s">
        <v>28</v>
      </c>
      <c r="J287" s="12" t="s">
        <v>309</v>
      </c>
      <c r="K287" s="12" t="s">
        <v>20</v>
      </c>
      <c r="L287" s="14">
        <v>7.5</v>
      </c>
      <c r="M287" s="14">
        <v>1</v>
      </c>
      <c r="N287" s="14">
        <v>7</v>
      </c>
      <c r="O287" s="17">
        <f>ROUND(IF(OR(G287=0,L287=0,M287=0,N287=0),0, G287*0.5+L287*0.1+M287*0.2+N287*0.2), 1)</f>
        <v>0</v>
      </c>
    </row>
    <row r="288" spans="1:15" ht="15" customHeight="1" x14ac:dyDescent="0.25">
      <c r="A288" s="12">
        <v>159</v>
      </c>
      <c r="B288" s="12" t="s">
        <v>306</v>
      </c>
      <c r="C288" s="12" t="s">
        <v>345</v>
      </c>
      <c r="D288" s="13" t="s">
        <v>346</v>
      </c>
      <c r="E288" s="14">
        <v>0</v>
      </c>
      <c r="F288" s="14">
        <v>0</v>
      </c>
      <c r="G288" s="15">
        <f>IF(OR(E288=0,F288=0),0,E288*0.5+F288*0.5)</f>
        <v>0</v>
      </c>
      <c r="H288" s="16">
        <v>39197</v>
      </c>
      <c r="I288" s="12" t="s">
        <v>23</v>
      </c>
      <c r="J288" s="12" t="s">
        <v>309</v>
      </c>
      <c r="K288" s="12" t="s">
        <v>20</v>
      </c>
      <c r="L288" s="14">
        <v>4.5</v>
      </c>
      <c r="M288" s="14">
        <v>1</v>
      </c>
      <c r="N288" s="14">
        <v>6.1</v>
      </c>
      <c r="O288" s="17">
        <f>ROUND(IF(OR(G288=0,L288=0,M288=0,N288=0),0, G288*0.5+L288*0.1+M288*0.2+N288*0.2), 1)</f>
        <v>0</v>
      </c>
    </row>
    <row r="289" spans="1:15" ht="15" customHeight="1" x14ac:dyDescent="0.25">
      <c r="A289" s="12">
        <v>229</v>
      </c>
      <c r="B289" s="12" t="s">
        <v>437</v>
      </c>
      <c r="C289" s="12" t="s">
        <v>480</v>
      </c>
      <c r="D289" s="13" t="s">
        <v>481</v>
      </c>
      <c r="E289" s="14">
        <v>6</v>
      </c>
      <c r="F289" s="14">
        <v>0</v>
      </c>
      <c r="G289" s="15">
        <f>IF(OR(E289=0,F289=0),0,E289*0.5+F289*0.5)</f>
        <v>0</v>
      </c>
      <c r="H289" s="16">
        <v>39291</v>
      </c>
      <c r="I289" s="12" t="s">
        <v>45</v>
      </c>
      <c r="J289" s="12" t="s">
        <v>96</v>
      </c>
      <c r="K289" s="12" t="s">
        <v>20</v>
      </c>
      <c r="L289" s="14">
        <v>10</v>
      </c>
      <c r="M289" s="14">
        <v>8.5</v>
      </c>
      <c r="N289" s="14">
        <v>7.9</v>
      </c>
      <c r="O289" s="17">
        <f>ROUND(IF(OR(G289=0,L289=0,M289=0,N289=0),0, G289*0.5+L289*0.1+M289*0.2+N289*0.2), 1)</f>
        <v>0</v>
      </c>
    </row>
    <row r="290" spans="1:15" ht="15" customHeight="1" x14ac:dyDescent="0.25">
      <c r="A290" s="12">
        <v>264</v>
      </c>
      <c r="B290" s="12" t="s">
        <v>498</v>
      </c>
      <c r="C290" s="12" t="s">
        <v>550</v>
      </c>
      <c r="D290" s="13" t="s">
        <v>551</v>
      </c>
      <c r="E290" s="14">
        <v>6</v>
      </c>
      <c r="F290" s="14">
        <v>0</v>
      </c>
      <c r="G290" s="15">
        <f>IF(OR(E290=0,F290=0),0,E290*0.5+F290*0.5)</f>
        <v>0</v>
      </c>
      <c r="H290" s="16">
        <v>39275</v>
      </c>
      <c r="I290" s="12" t="s">
        <v>18</v>
      </c>
      <c r="J290" s="12" t="s">
        <v>375</v>
      </c>
      <c r="K290" s="12" t="s">
        <v>20</v>
      </c>
      <c r="L290" s="14">
        <v>4.5</v>
      </c>
      <c r="M290" s="14">
        <v>7.5</v>
      </c>
      <c r="N290" s="14">
        <v>10</v>
      </c>
      <c r="O290" s="17">
        <f>ROUND(IF(OR(G290=0,L290=0,M290=0,N290=0),0, G290*0.5+L290*0.1+M290*0.2+N290*0.2), 1)</f>
        <v>0</v>
      </c>
    </row>
    <row r="291" spans="1:15" ht="15" customHeight="1" x14ac:dyDescent="0.25">
      <c r="A291" s="23">
        <v>289</v>
      </c>
      <c r="B291" s="23" t="s">
        <v>596</v>
      </c>
      <c r="C291" s="23" t="s">
        <v>601</v>
      </c>
      <c r="D291" s="24" t="s">
        <v>399</v>
      </c>
      <c r="E291" s="25">
        <v>0</v>
      </c>
      <c r="F291" s="25">
        <v>0</v>
      </c>
      <c r="G291" s="21">
        <f>IF(OR(E291=0,F291=0),0,E291*0.5+F291*0.5)</f>
        <v>0</v>
      </c>
      <c r="H291" s="26">
        <v>39162</v>
      </c>
      <c r="I291" s="23" t="s">
        <v>28</v>
      </c>
      <c r="J291" s="23" t="s">
        <v>309</v>
      </c>
      <c r="K291" s="23" t="s">
        <v>20</v>
      </c>
      <c r="L291" s="14">
        <v>0</v>
      </c>
      <c r="M291" s="14">
        <v>0</v>
      </c>
      <c r="N291" s="14">
        <v>0</v>
      </c>
      <c r="O291" s="17">
        <f>ROUND(IF(OR(G291=0,L291=0,M291=0,N291=0),0, G291*0.5+L291*0.1+M291*0.2+N291*0.2), 1)</f>
        <v>0</v>
      </c>
    </row>
    <row r="292" spans="1:15" ht="15" customHeight="1" x14ac:dyDescent="0.25">
      <c r="A292" s="27">
        <v>178</v>
      </c>
      <c r="B292" s="27" t="s">
        <v>373</v>
      </c>
      <c r="C292" s="27" t="s">
        <v>380</v>
      </c>
      <c r="D292" s="28" t="s">
        <v>399</v>
      </c>
      <c r="E292" s="29">
        <v>8.5</v>
      </c>
      <c r="F292" s="29">
        <v>0</v>
      </c>
      <c r="G292" s="21">
        <f>IF(OR(E292=0,F292=0),0,E292*0.5+F292*0.5)</f>
        <v>0</v>
      </c>
      <c r="H292" s="30">
        <v>39235</v>
      </c>
      <c r="I292" s="27" t="s">
        <v>49</v>
      </c>
      <c r="J292" s="27" t="s">
        <v>375</v>
      </c>
      <c r="K292" s="27" t="s">
        <v>20</v>
      </c>
      <c r="L292" s="14">
        <v>10</v>
      </c>
      <c r="M292" s="14">
        <v>8.5</v>
      </c>
      <c r="N292" s="14">
        <v>10</v>
      </c>
      <c r="O292" s="17">
        <f>ROUND(IF(OR(G292=0,L292=0,M292=0,N292=0),0, G292*0.5+L292*0.1+M292*0.2+N292*0.2), 1)</f>
        <v>0</v>
      </c>
    </row>
    <row r="293" spans="1:15" ht="15" customHeight="1" x14ac:dyDescent="0.25">
      <c r="A293" s="23">
        <v>290</v>
      </c>
      <c r="B293" s="23" t="s">
        <v>596</v>
      </c>
      <c r="C293" s="23" t="s">
        <v>602</v>
      </c>
      <c r="D293" s="24" t="s">
        <v>603</v>
      </c>
      <c r="E293" s="25">
        <v>0</v>
      </c>
      <c r="F293" s="25">
        <v>0</v>
      </c>
      <c r="G293" s="21">
        <f>IF(OR(E293=0,F293=0),0,E293*0.5+F293*0.5)</f>
        <v>0</v>
      </c>
      <c r="H293" s="26">
        <v>39420</v>
      </c>
      <c r="I293" s="23" t="s">
        <v>28</v>
      </c>
      <c r="J293" s="23" t="s">
        <v>96</v>
      </c>
      <c r="K293" s="23" t="s">
        <v>20</v>
      </c>
      <c r="L293" s="14">
        <v>0</v>
      </c>
      <c r="M293" s="14">
        <v>0</v>
      </c>
      <c r="N293" s="14">
        <v>0</v>
      </c>
      <c r="O293" s="17">
        <f>ROUND(IF(OR(G293=0,L293=0,M293=0,N293=0),0, G293*0.5+L293*0.1+M293*0.2+N293*0.2), 1)</f>
        <v>0</v>
      </c>
    </row>
    <row r="294" spans="1:15" ht="15" customHeight="1" x14ac:dyDescent="0.25"/>
    <row r="295" spans="1:15" ht="15" customHeight="1" x14ac:dyDescent="0.25">
      <c r="D295" s="5" t="s">
        <v>604</v>
      </c>
      <c r="E295" s="6">
        <f>AVERAGE(E4:E293)</f>
        <v>6.8241379310344827</v>
      </c>
      <c r="F295" s="6">
        <f>AVERAGE(F4:F293)</f>
        <v>5.444137931034482</v>
      </c>
      <c r="G295" s="6">
        <f>AVERAGE(G4:G293)</f>
        <v>6.0237931034482761</v>
      </c>
      <c r="L295" s="7">
        <f>AVERAGE(L4:L293)</f>
        <v>8.2706896551724132</v>
      </c>
      <c r="M295" s="7">
        <f>AVERAGE(M4:M293)</f>
        <v>7.7068965517241379</v>
      </c>
      <c r="N295" s="7">
        <f>AVERAGE(N4:N293)</f>
        <v>8.6296551724137949</v>
      </c>
      <c r="O295" s="32">
        <f>AVERAGEA(O4:O293)</f>
        <v>6.9065517241379348</v>
      </c>
    </row>
    <row r="296" spans="1:15" ht="15" customHeight="1" x14ac:dyDescent="0.25"/>
    <row r="297" spans="1:15" ht="15" customHeight="1" x14ac:dyDescent="0.25">
      <c r="A297" s="8"/>
    </row>
    <row r="298" spans="1:15" ht="15" customHeight="1" x14ac:dyDescent="0.25">
      <c r="A298" s="8"/>
    </row>
    <row r="299" spans="1:15" ht="15" customHeight="1" x14ac:dyDescent="0.25">
      <c r="A299" s="9"/>
    </row>
    <row r="300" spans="1:15" ht="15" customHeight="1" x14ac:dyDescent="0.25"/>
  </sheetData>
  <autoFilter ref="A3:O293" xr:uid="{00000000-0001-0000-0000-000000000000}">
    <sortState xmlns:xlrd2="http://schemas.microsoft.com/office/spreadsheetml/2017/richdata2" ref="A4:O293">
      <sortCondition descending="1" ref="O3:O293"/>
    </sortState>
  </autoFilter>
  <mergeCells count="1">
    <mergeCell ref="A1:G1"/>
  </mergeCells>
  <conditionalFormatting sqref="G4:G293">
    <cfRule type="cellIs" dxfId="2" priority="2" operator="equal">
      <formula>0</formula>
    </cfRule>
  </conditionalFormatting>
  <conditionalFormatting sqref="O4:O293 O295">
    <cfRule type="cellIs" dxfId="0" priority="1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/>
  </sheetViews>
  <sheetFormatPr defaultColWidth="8.7109375" defaultRowHeight="15" x14ac:dyDescent="0.25"/>
  <cols>
    <col min="1" max="1" width="10" customWidth="1"/>
    <col min="2" max="4" width="16" customWidth="1"/>
  </cols>
  <sheetData>
    <row r="1" spans="1:4" ht="17.25" customHeight="1" x14ac:dyDescent="0.25">
      <c r="A1" s="1" t="s">
        <v>605</v>
      </c>
      <c r="B1" s="1"/>
      <c r="C1" s="1"/>
      <c r="D1" s="1"/>
    </row>
    <row r="3" spans="1:4" ht="15" customHeight="1" x14ac:dyDescent="0.25">
      <c r="A3" s="2" t="s">
        <v>2</v>
      </c>
      <c r="B3" s="2" t="s">
        <v>606</v>
      </c>
      <c r="C3" s="2" t="s">
        <v>607</v>
      </c>
      <c r="D3" s="2" t="s">
        <v>608</v>
      </c>
    </row>
    <row r="4" spans="1:4" ht="15" customHeight="1" x14ac:dyDescent="0.25">
      <c r="A4" s="3" t="s">
        <v>15</v>
      </c>
      <c r="B4" s="3">
        <v>35</v>
      </c>
      <c r="C4" s="3">
        <v>35</v>
      </c>
      <c r="D4" s="4">
        <f>AVERAGEIF('Bảng điểm tổng kết'!B:B,A4,'Bảng điểm tổng kết'!G:G)</f>
        <v>6.5571428571428569</v>
      </c>
    </row>
    <row r="5" spans="1:4" ht="15" customHeight="1" x14ac:dyDescent="0.25">
      <c r="A5" s="3" t="s">
        <v>93</v>
      </c>
      <c r="B5" s="3">
        <v>34</v>
      </c>
      <c r="C5" s="3">
        <v>35</v>
      </c>
      <c r="D5" s="4">
        <f>AVERAGEIF('Bảng điểm tổng kết'!B:B,A5,'Bảng điểm tổng kết'!G:G)</f>
        <v>6.1367647058823529</v>
      </c>
    </row>
    <row r="6" spans="1:4" ht="15" customHeight="1" x14ac:dyDescent="0.25">
      <c r="A6" s="3" t="s">
        <v>163</v>
      </c>
      <c r="B6" s="3">
        <v>36</v>
      </c>
      <c r="C6" s="3">
        <v>36</v>
      </c>
      <c r="D6" s="4">
        <f>AVERAGEIF('Bảng điểm tổng kết'!B:B,A6,'Bảng điểm tổng kết'!G:G)</f>
        <v>6.2375000000000007</v>
      </c>
    </row>
    <row r="7" spans="1:4" ht="15" customHeight="1" x14ac:dyDescent="0.25">
      <c r="A7" s="3" t="s">
        <v>236</v>
      </c>
      <c r="B7" s="3">
        <v>35</v>
      </c>
      <c r="C7" s="3">
        <v>35</v>
      </c>
      <c r="D7" s="4">
        <f>AVERAGEIF('Bảng điểm tổng kết'!B:B,A7,'Bảng điểm tổng kết'!G:G)</f>
        <v>5.8028571428571425</v>
      </c>
    </row>
    <row r="8" spans="1:4" ht="15" customHeight="1" x14ac:dyDescent="0.25">
      <c r="A8" s="3" t="s">
        <v>306</v>
      </c>
      <c r="B8" s="3">
        <v>32</v>
      </c>
      <c r="C8" s="3">
        <v>32</v>
      </c>
      <c r="D8" s="4">
        <f>AVERAGEIF('Bảng điểm tổng kết'!B:B,A8,'Bảng điểm tổng kết'!G:G)</f>
        <v>5.2234375000000002</v>
      </c>
    </row>
    <row r="9" spans="1:4" ht="15" customHeight="1" x14ac:dyDescent="0.25">
      <c r="A9" s="3" t="s">
        <v>373</v>
      </c>
      <c r="B9" s="3">
        <v>35</v>
      </c>
      <c r="C9" s="3">
        <v>35</v>
      </c>
      <c r="D9" s="4">
        <f>AVERAGEIF('Bảng điểm tổng kết'!B:B,A9,'Bảng điểm tổng kết'!G:G)</f>
        <v>6.3114285714285714</v>
      </c>
    </row>
    <row r="10" spans="1:4" ht="15" customHeight="1" x14ac:dyDescent="0.25">
      <c r="A10" s="3" t="s">
        <v>437</v>
      </c>
      <c r="B10" s="3">
        <v>30</v>
      </c>
      <c r="C10" s="3">
        <v>30</v>
      </c>
      <c r="D10" s="4">
        <f>AVERAGEIF('Bảng điểm tổng kết'!B:B,A10,'Bảng điểm tổng kết'!G:G)</f>
        <v>6.45</v>
      </c>
    </row>
    <row r="11" spans="1:4" ht="15" customHeight="1" x14ac:dyDescent="0.25">
      <c r="A11" s="3" t="s">
        <v>498</v>
      </c>
      <c r="B11" s="3">
        <v>49</v>
      </c>
      <c r="C11" s="3">
        <v>49</v>
      </c>
      <c r="D11" s="4">
        <f>AVERAGEIF('Bảng điểm tổng kết'!B:B,A11,'Bảng điểm tổng kết'!G:G)</f>
        <v>6.1132653061224493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zoomScaleNormal="100" workbookViewId="0"/>
  </sheetViews>
  <sheetFormatPr defaultColWidth="8.7109375" defaultRowHeight="15" x14ac:dyDescent="0.25"/>
  <cols>
    <col min="1" max="1" width="12" customWidth="1"/>
    <col min="2" max="3" width="18" customWidth="1"/>
    <col min="4" max="4" width="20" customWidth="1"/>
  </cols>
  <sheetData>
    <row r="1" spans="1:4" ht="17.25" customHeight="1" x14ac:dyDescent="0.25">
      <c r="A1" s="1" t="s">
        <v>609</v>
      </c>
      <c r="B1" s="1"/>
      <c r="C1" s="1"/>
      <c r="D1" s="1"/>
    </row>
    <row r="3" spans="1:4" ht="15" customHeight="1" x14ac:dyDescent="0.25">
      <c r="A3" s="2" t="s">
        <v>610</v>
      </c>
      <c r="B3" s="2" t="s">
        <v>611</v>
      </c>
      <c r="C3" s="2" t="s">
        <v>612</v>
      </c>
      <c r="D3" s="2" t="s">
        <v>613</v>
      </c>
    </row>
    <row r="4" spans="1:4" ht="15" customHeight="1" x14ac:dyDescent="0.25">
      <c r="A4" s="3" t="s">
        <v>614</v>
      </c>
      <c r="B4" s="3">
        <f>COUNTIFS('Bảng điểm tổng kết'!$E$4:$E$293,"&gt;="&amp;0,'Bảng điểm tổng kết'!$E$4:$E$293,"&lt;"&amp;1)</f>
        <v>13</v>
      </c>
      <c r="C4" s="3">
        <f>COUNTIFS('Bảng điểm tổng kết'!$F$4:$F$293,"&gt;="&amp;0,'Bảng điểm tổng kết'!$F$4:$F$293,"&lt;"&amp;1)</f>
        <v>23</v>
      </c>
      <c r="D4" s="3">
        <f>COUNTIFS('Bảng điểm tổng kết'!$G$4:$G$293,"&gt;="&amp;0,'Bảng điểm tổng kết'!$G$4:$G$293,"&lt;"&amp;1)</f>
        <v>23</v>
      </c>
    </row>
    <row r="5" spans="1:4" ht="15" customHeight="1" x14ac:dyDescent="0.25">
      <c r="A5" s="3" t="s">
        <v>615</v>
      </c>
      <c r="B5" s="3">
        <f>COUNTIFS('Bảng điểm tổng kết'!$E$4:$E$293,"&gt;="&amp;1,'Bảng điểm tổng kết'!$E$4:$E$293,"&lt;"&amp;2)</f>
        <v>0</v>
      </c>
      <c r="C5" s="3">
        <f>COUNTIFS('Bảng điểm tổng kết'!$F$4:$F$293,"&gt;="&amp;1,'Bảng điểm tổng kết'!$F$4:$F$293,"&lt;"&amp;2)</f>
        <v>13</v>
      </c>
      <c r="D5" s="3">
        <f>COUNTIFS('Bảng điểm tổng kết'!$G$4:$G$293,"&gt;="&amp;1,'Bảng điểm tổng kết'!$G$4:$G$293,"&lt;"&amp;2)</f>
        <v>0</v>
      </c>
    </row>
    <row r="6" spans="1:4" ht="15" customHeight="1" x14ac:dyDescent="0.25">
      <c r="A6" s="3" t="s">
        <v>616</v>
      </c>
      <c r="B6" s="3">
        <f>COUNTIFS('Bảng điểm tổng kết'!$E$4:$E$293,"&gt;="&amp;2,'Bảng điểm tổng kết'!$E$4:$E$293,"&lt;"&amp;3)</f>
        <v>0</v>
      </c>
      <c r="C6" s="3">
        <f>COUNTIFS('Bảng điểm tổng kết'!$F$4:$F$293,"&gt;="&amp;2,'Bảng điểm tổng kết'!$F$4:$F$293,"&lt;"&amp;3)</f>
        <v>7</v>
      </c>
      <c r="D6" s="3">
        <f>COUNTIFS('Bảng điểm tổng kết'!$G$4:$G$293,"&gt;="&amp;2,'Bảng điểm tổng kết'!$G$4:$G$293,"&lt;"&amp;3)</f>
        <v>1</v>
      </c>
    </row>
    <row r="7" spans="1:4" ht="15" customHeight="1" x14ac:dyDescent="0.25">
      <c r="A7" s="3" t="s">
        <v>617</v>
      </c>
      <c r="B7" s="3">
        <f>COUNTIFS('Bảng điểm tổng kết'!$E$4:$E$293,"&gt;="&amp;3,'Bảng điểm tổng kết'!$E$4:$E$293,"&lt;"&amp;4)</f>
        <v>0</v>
      </c>
      <c r="C7" s="3">
        <f>COUNTIFS('Bảng điểm tổng kết'!$F$4:$F$293,"&gt;="&amp;3,'Bảng điểm tổng kết'!$F$4:$F$293,"&lt;"&amp;4)</f>
        <v>3</v>
      </c>
      <c r="D7" s="3">
        <f>COUNTIFS('Bảng điểm tổng kết'!$G$4:$G$293,"&gt;="&amp;3,'Bảng điểm tổng kết'!$G$4:$G$293,"&lt;"&amp;4)</f>
        <v>8</v>
      </c>
    </row>
    <row r="8" spans="1:4" ht="15" customHeight="1" x14ac:dyDescent="0.25">
      <c r="A8" s="3" t="s">
        <v>618</v>
      </c>
      <c r="B8" s="3">
        <f>COUNTIFS('Bảng điểm tổng kết'!$E$4:$E$293,"&gt;="&amp;4,'Bảng điểm tổng kết'!$E$4:$E$293,"&lt;"&amp;5)</f>
        <v>13</v>
      </c>
      <c r="C8" s="3">
        <f>COUNTIFS('Bảng điểm tổng kết'!$F$4:$F$293,"&gt;="&amp;4,'Bảng điểm tổng kết'!$F$4:$F$293,"&lt;"&amp;5)</f>
        <v>75</v>
      </c>
      <c r="D8" s="3">
        <f>COUNTIFS('Bảng điểm tổng kết'!$G$4:$G$293,"&gt;="&amp;4,'Bảng điểm tổng kết'!$G$4:$G$293,"&lt;"&amp;5)</f>
        <v>20</v>
      </c>
    </row>
    <row r="9" spans="1:4" ht="15" customHeight="1" x14ac:dyDescent="0.25">
      <c r="A9" s="3" t="s">
        <v>619</v>
      </c>
      <c r="B9" s="3">
        <f>COUNTIFS('Bảng điểm tổng kết'!$E$4:$E$293,"&gt;="&amp;5,'Bảng điểm tổng kết'!$E$4:$E$293,"&lt;"&amp;6)</f>
        <v>33</v>
      </c>
      <c r="C9" s="3">
        <f>COUNTIFS('Bảng điểm tổng kết'!$F$4:$F$293,"&gt;="&amp;5,'Bảng điểm tổng kết'!$F$4:$F$293,"&lt;"&amp;6)</f>
        <v>18</v>
      </c>
      <c r="D9" s="3">
        <f>COUNTIFS('Bảng điểm tổng kết'!$G$4:$G$293,"&gt;="&amp;5,'Bảng điểm tổng kết'!$G$4:$G$293,"&lt;"&amp;6)</f>
        <v>59</v>
      </c>
    </row>
    <row r="10" spans="1:4" ht="15" customHeight="1" x14ac:dyDescent="0.25">
      <c r="A10" s="3" t="s">
        <v>620</v>
      </c>
      <c r="B10" s="3">
        <f>COUNTIFS('Bảng điểm tổng kết'!$E$4:$E$293,"&gt;="&amp;6,'Bảng điểm tổng kết'!$E$4:$E$293,"&lt;"&amp;7)</f>
        <v>60</v>
      </c>
      <c r="C10" s="3">
        <f>COUNTIFS('Bảng điểm tổng kết'!$F$4:$F$293,"&gt;="&amp;6,'Bảng điểm tổng kết'!$F$4:$F$293,"&lt;"&amp;7)</f>
        <v>70</v>
      </c>
      <c r="D10" s="3">
        <f>COUNTIFS('Bảng điểm tổng kết'!$G$4:$G$293,"&gt;="&amp;6,'Bảng điểm tổng kết'!$G$4:$G$293,"&lt;"&amp;7)</f>
        <v>72</v>
      </c>
    </row>
    <row r="11" spans="1:4" ht="15" customHeight="1" x14ac:dyDescent="0.25">
      <c r="A11" s="3" t="s">
        <v>621</v>
      </c>
      <c r="B11" s="3">
        <f>COUNTIFS('Bảng điểm tổng kết'!$E$4:$E$293,"&gt;="&amp;7,'Bảng điểm tổng kết'!$E$4:$E$293,"&lt;"&amp;8)</f>
        <v>67</v>
      </c>
      <c r="C11" s="3">
        <f>COUNTIFS('Bảng điểm tổng kết'!$F$4:$F$293,"&gt;="&amp;7,'Bảng điểm tổng kết'!$F$4:$F$293,"&lt;"&amp;8)</f>
        <v>32</v>
      </c>
      <c r="D11" s="3">
        <f>COUNTIFS('Bảng điểm tổng kết'!$G$4:$G$293,"&gt;="&amp;7,'Bảng điểm tổng kết'!$G$4:$G$293,"&lt;"&amp;8)</f>
        <v>57</v>
      </c>
    </row>
    <row r="12" spans="1:4" ht="15" customHeight="1" x14ac:dyDescent="0.25">
      <c r="A12" s="3" t="s">
        <v>622</v>
      </c>
      <c r="B12" s="3">
        <f>COUNTIFS('Bảng điểm tổng kết'!$E$4:$E$293,"&gt;="&amp;8,'Bảng điểm tổng kết'!$E$4:$E$293,"&lt;"&amp;9)</f>
        <v>64</v>
      </c>
      <c r="C12" s="3">
        <f>COUNTIFS('Bảng điểm tổng kết'!$F$4:$F$293,"&gt;="&amp;8,'Bảng điểm tổng kết'!$F$4:$F$293,"&lt;"&amp;9)</f>
        <v>33</v>
      </c>
      <c r="D12" s="3">
        <f>COUNTIFS('Bảng điểm tổng kết'!$G$4:$G$293,"&gt;="&amp;8,'Bảng điểm tổng kết'!$G$4:$G$293,"&lt;"&amp;9)</f>
        <v>35</v>
      </c>
    </row>
    <row r="13" spans="1:4" ht="15" customHeight="1" x14ac:dyDescent="0.25">
      <c r="A13" s="3" t="s">
        <v>623</v>
      </c>
      <c r="B13" s="3">
        <f>COUNTIFS('Bảng điểm tổng kết'!$E$4:$E$293,"&gt;="&amp;9,'Bảng điểm tổng kết'!$E$4:$E$293,"&lt;"&amp;10.0001)</f>
        <v>40</v>
      </c>
      <c r="C13" s="3">
        <f>COUNTIFS('Bảng điểm tổng kết'!$F$4:$F$293,"&gt;="&amp;9,'Bảng điểm tổng kết'!$F$4:$F$293,"&lt;"&amp;10.0001)</f>
        <v>16</v>
      </c>
      <c r="D13" s="3">
        <f>COUNTIFS('Bảng điểm tổng kết'!$G$4:$G$293,"&gt;="&amp;9,'Bảng điểm tổng kết'!$G$4:$G$293,"&lt;"&amp;10.0001)</f>
        <v>15</v>
      </c>
    </row>
    <row r="14" spans="1:4" ht="15" customHeight="1" x14ac:dyDescent="0.25">
      <c r="A14" s="10" t="s">
        <v>624</v>
      </c>
      <c r="B14" s="10">
        <f>SUM(B4:B13)</f>
        <v>290</v>
      </c>
      <c r="C14" s="10">
        <f>SUM(C4:C13)</f>
        <v>290</v>
      </c>
      <c r="D14" s="10">
        <f>SUM(D4:D13)</f>
        <v>290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điểm tổng kết</vt:lpstr>
      <vt:lpstr>Thông tin ca thi</vt:lpstr>
      <vt:lpstr>Phân bố điểm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Phan Ly Huynh</cp:lastModifiedBy>
  <cp:revision>5</cp:revision>
  <dcterms:created xsi:type="dcterms:W3CDTF">2026-07-08T04:15:56Z</dcterms:created>
  <dcterms:modified xsi:type="dcterms:W3CDTF">2026-07-08T06:28:30Z</dcterms:modified>
  <dc:language>en-US</dc:language>
</cp:coreProperties>
</file>